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Дотоод" sheetId="1" state="visible" r:id="rId3"/>
    <sheet name="Гадаад" sheetId="2" state="visible" r:id="rId4"/>
    <sheet name="Ангилал" sheetId="3" state="hidden" r:id="rId5"/>
    <sheet name="Дашбоард"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K7" authorId="0">
      <text>
        <r>
          <rPr>
            <sz val="10"/>
            <rFont val="Arial"/>
            <family val="2"/>
          </rPr>
          <t xml:space="preserve">Бүх холбоос:
https://isee.mn/n/89499
https://www.facebook.com/photo?fbid=1273857221519791&amp;set=a.408757958029726</t>
        </r>
      </text>
    </comment>
    <comment ref="K12" authorId="0">
      <text>
        <r>
          <rPr>
            <sz val="10"/>
            <rFont val="Arial"/>
            <family val="2"/>
          </rPr>
          <t xml:space="preserve">Бүх холбоос:
https://gogo.mn/r/d36x0g
https://ikon.mn/n/3mpa</t>
        </r>
      </text>
    </comment>
    <comment ref="K14" authorId="0">
      <text>
        <r>
          <rPr>
            <sz val="10"/>
            <rFont val="Arial"/>
            <family val="2"/>
          </rPr>
          <t xml:space="preserve">Бүх холбоос:
https://cmsg.mongolcontent.mn/r/ljem49
https://ubn.mn/p/96325</t>
        </r>
      </text>
    </comment>
    <comment ref="K89" authorId="0">
      <text>
        <r>
          <rPr>
            <sz val="10"/>
            <rFont val="Arial"/>
            <family val="2"/>
          </rPr>
          <t xml:space="preserve">Бүх холбоос:
https://ikon.mn/n/3pa1
https://www.mnb.mn/i/349949</t>
        </r>
      </text>
    </comment>
    <comment ref="K92" authorId="0">
      <text>
        <r>
          <rPr>
            <sz val="10"/>
            <rFont val="Arial"/>
            <family val="2"/>
          </rPr>
          <t xml:space="preserve">Бүх холбоос:
https://www.mnb.mn/i/349892
https://www.mnb.mn/i/349893</t>
        </r>
      </text>
    </comment>
    <comment ref="K113" authorId="0">
      <text>
        <r>
          <rPr>
            <sz val="10"/>
            <rFont val="Arial"/>
            <family val="2"/>
          </rPr>
          <t xml:space="preserve">Бүх холбоос:
https://ikon.mn/n/3qli
https://ubn.mn/p/101300</t>
        </r>
      </text>
    </comment>
    <comment ref="K114" authorId="0">
      <text>
        <r>
          <rPr>
            <sz val="10"/>
            <rFont val="Arial"/>
            <family val="2"/>
          </rPr>
          <t xml:space="preserve">Бүх холбоос:
https://ikon.mn/n/3qku
https://news.zindaa.mn/5d31
https://www.kyivpost.com/post/85416</t>
        </r>
      </text>
    </comment>
    <comment ref="K117" authorId="0">
      <text>
        <r>
          <rPr>
            <sz val="10"/>
            <rFont val="Arial"/>
            <family val="2"/>
          </rPr>
          <t xml:space="preserve">Бүх холбоос:
https://ikon.mn/n/3qlr
https://ubn.mn/p/101324</t>
        </r>
      </text>
    </comment>
    <comment ref="K123" authorId="0">
      <text>
        <r>
          <rPr>
            <sz val="10"/>
            <rFont val="Arial"/>
            <family val="2"/>
          </rPr>
          <t xml:space="preserve">Бүх холбоос:
https://ubn.mn/p/101129
https://ubn.mn/p/101204</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9" authorId="0">
      <text>
        <r>
          <rPr>
            <sz val="10"/>
            <rFont val="Arial"/>
            <family val="2"/>
          </rPr>
          <t xml:space="preserve">Бүх холбоос:
https://news.un.org/en/story/2026/04/1167314
https://www.ohchr.org/en/press-releases/2026/04/un-experts-demand-accountability-trafficking-allegations-epstein-files-warn</t>
        </r>
      </text>
    </comment>
    <comment ref="J10" authorId="0">
      <text>
        <r>
          <rPr>
            <sz val="10"/>
            <rFont val="Arial"/>
            <family val="2"/>
          </rPr>
          <t xml:space="preserve">Бүх холбоос:
https://www.hrw.org/news/2026/04/13/sex-testing-all-women-athletes-is-a-discriminatory-rights-violation
https://www.olympics.com/ioc/news/international-olympic-committee-announces-new-policy-on-the-protection-of-the-female-women-s-category-in-olympic-sport</t>
        </r>
      </text>
    </comment>
    <comment ref="J32" authorId="0">
      <text>
        <r>
          <rPr>
            <sz val="10"/>
            <rFont val="Arial"/>
            <family val="2"/>
          </rPr>
          <t xml:space="preserve">Бүх холбоос:
https://news.un.org/en/story/2026/04/1167416
https://www.unwomen.org/sites/default/files/2026-04/tipping-point-online-violence-impacts-manifestations-and-redress-en.pdf</t>
        </r>
      </text>
    </comment>
    <comment ref="J41" authorId="0">
      <text>
        <r>
          <rPr>
            <sz val="10"/>
            <rFont val="Arial"/>
            <family val="2"/>
          </rPr>
          <t xml:space="preserve">Бүх холбоос:
https://www.hrw.org/news/2026/05/07/un-guidance-on-dismantling-gender-stereotypes
https://www.ohchr.org/en/calls-for-input/2026/call-comments-draft-general-recommendation-gender-stereotypes</t>
        </r>
      </text>
    </comment>
    <comment ref="J45" authorId="0">
      <text>
        <r>
          <rPr>
            <sz val="10"/>
            <rFont val="Arial"/>
            <family val="2"/>
          </rPr>
          <t xml:space="preserve">Бүх холбоос:
https://www.hrw.org/news/2026/05/12/european-union-surveillance-technology-sold-to-rights-violators
https://www.hrw.org/sites/default/files/media_2026/05/eu_spyware0526%20web_2.pdf</t>
        </r>
      </text>
    </comment>
    <comment ref="J68" authorId="0">
      <text>
        <r>
          <rPr>
            <sz val="10"/>
            <rFont val="Arial"/>
            <family val="2"/>
          </rPr>
          <t xml:space="preserve">Бүх холбоос:
https://news.un.org/en/story/2026/06/1167620
https://www.montsame.mn/mn/read/400867</t>
        </r>
      </text>
    </comment>
    <comment ref="J92" authorId="0">
      <text>
        <r>
          <rPr>
            <sz val="10"/>
            <rFont val="Arial"/>
            <family val="2"/>
          </rPr>
          <t xml:space="preserve">Бүх холбоос:
https://news.un.org/en/story/2026/06/1167790
https://ikon.mn/n/3oh9</t>
        </r>
      </text>
    </comment>
  </commentList>
</comments>
</file>

<file path=xl/sharedStrings.xml><?xml version="1.0" encoding="utf-8"?>
<sst xmlns="http://schemas.openxmlformats.org/spreadsheetml/2006/main" count="2879" uniqueCount="2081">
  <si>
    <t xml:space="preserve">Хүний эрхийн зөрчилтэй холбоотой 7 хоног бүрийн мэдээ, мэдээллийн бүртгэлийн хүснэгт</t>
  </si>
  <si>
    <t xml:space="preserve">Монгол</t>
  </si>
  <si>
    <t xml:space="preserve">2026.04.07</t>
  </si>
  <si>
    <t xml:space="preserve">Улаанбаатар хот</t>
  </si>
  <si>
    <t xml:space="preserve">Д/д</t>
  </si>
  <si>
    <t xml:space="preserve">Мэдээллийн огноо</t>
  </si>
  <si>
    <t xml:space="preserve">Мэдээлэл дэх үйл явдал болсон хугацаа</t>
  </si>
  <si>
    <t xml:space="preserve">Мэдээллийн гарчиг</t>
  </si>
  <si>
    <t xml:space="preserve">Мэдээллийн товч утга </t>
  </si>
  <si>
    <t xml:space="preserve">Үйл явдал болсон байршил</t>
  </si>
  <si>
    <t xml:space="preserve">Хөндөгдсөн эрх</t>
  </si>
  <si>
    <t xml:space="preserve">Зөрчил үйлдсэн байж болзошгүй этгээд /хариуцагч/</t>
  </si>
  <si>
    <t xml:space="preserve">Хариу арга хэмжээ авсан эсэх </t>
  </si>
  <si>
    <t xml:space="preserve">Эх сурвалж /дэлгэрэнгүй/</t>
  </si>
  <si>
    <t xml:space="preserve">Холбоос </t>
  </si>
  <si>
    <t xml:space="preserve">Баталгаажуулалт </t>
  </si>
  <si>
    <t xml:space="preserve">Эрхийн ангилал (авто)</t>
  </si>
  <si>
    <t xml:space="preserve">Эрх — гараар засах</t>
  </si>
  <si>
    <t xml:space="preserve">ЭРХИЙН АНГИЛАЛ</t>
  </si>
  <si>
    <t xml:space="preserve">Нийгмийн бүлэг (авто)</t>
  </si>
  <si>
    <t xml:space="preserve">Бүлэг — гараар засах</t>
  </si>
  <si>
    <t xml:space="preserve">НИЙГМИЙН БҮЛЭГ</t>
  </si>
  <si>
    <t xml:space="preserve">2026.04.06-10</t>
  </si>
  <si>
    <t xml:space="preserve">2026.04.06</t>
  </si>
  <si>
    <t xml:space="preserve">Хотын даргыг огцруулах өргөдөлд гарын үсэг цуглуулж байгаа “United info hub” сайт албан ёсных тул ХЭҮК-т хандахаар болжээ</t>
  </si>
  <si>
    <t xml:space="preserve">Хотын даргыг огцруулах өргөдөлтэй холбоотой иргэдийн гарын үсэг цуглуулах үйл ажиллагаанд саад учруулсан, хуулийн байгууллагаар “далайлгасан” нь эвлэлдэн нэгдэх эрхийн зөрчил гэж үзэн Хүний эрхийн Үндэсний Комисст хандах</t>
  </si>
  <si>
    <t xml:space="preserve">Улаанбаатар</t>
  </si>
  <si>
    <t xml:space="preserve">Иргэдийн улс төрийн оролцоо, үзэл бодлоо илэрхийлэх эрх зөрчигдсөн байж болзошгүй</t>
  </si>
  <si>
    <t xml:space="preserve">НЗД бөгөөд УБ хотын Захирагч Х.Нямбаатар</t>
  </si>
  <si>
    <t xml:space="preserve">United info hub цахим хуудас
isee.mn цахим сайт</t>
  </si>
  <si>
    <t xml:space="preserve">https://isee.mn/n/89499
https://www.facebook.com/photo?fbid=1273857221519791&amp;set=a.408757958029726</t>
  </si>
  <si>
    <t xml:space="preserve">2026.04.09</t>
  </si>
  <si>
    <t xml:space="preserve">Тоглоомын талбайн аюулгүй байдал: 10 тоглоомын талбай тутмын 6 нь хүүхдийн эрүүл мэнд, аюулгүй байдалд ноцтой эрсдэлтэй</t>
  </si>
  <si>
    <t xml:space="preserve">MNB World-ийн Facebook snippet-д улсын хэмжээнд 10 талбайн 6 нь хүүхдийн аюулгүй байдал, эрүүл мэндэд ноцтой эрсдэлтэй гэж дурдсан; өөр snippet-д Улаанбаатарын 9 дүүргийн талбайн 78% нь аюулгүй байдлын шаардлага хангахгүй гэжээ.</t>
  </si>
  <si>
    <t xml:space="preserve"> Улаанбаатар</t>
  </si>
  <si>
    <t xml:space="preserve">Хүүхдийн амьд явах, аюулгүй байх, эрүүл орчинд байх эрх</t>
  </si>
  <si>
    <t xml:space="preserve">Орон нутгийн захиргаа, талбай хариуцагч байгууллага, хяналтын байгууллагууд</t>
  </si>
  <si>
    <t xml:space="preserve"> . 
Эрсдэлийг олон нийтэд мэдээлсэн боловч авсан шийдвэр тодорхой бус байна. </t>
  </si>
  <si>
    <t xml:space="preserve">MNB world</t>
  </si>
  <si>
    <t xml:space="preserve">https://www.facebook.com/mnbworld/videos/six-out-of-every-10-playgrounds-across-the-country-pose-a-serious-risk-to-childr/925123123688279/
</t>
  </si>
  <si>
    <t xml:space="preserve">2026.04.03</t>
  </si>
  <si>
    <t xml:space="preserve">Сургуулийн орчны аюулгүй байдал хангалтгүй</t>
  </si>
  <si>
    <t xml:space="preserve">Сургуулийн орчинд эрүүл ахуй, аюулгүй байдлын стандарт хангалтгүй байгааг мэдээлж, хүүхдийн эрүүл орчинд суралцах эрх зөрчигдөж болзошгүй</t>
  </si>
  <si>
    <t xml:space="preserve">Монгол Улс</t>
  </si>
  <si>
    <t xml:space="preserve">Хүүхдийн эрх, эрүүл аюулгүй орчинд суралцах эрх</t>
  </si>
  <si>
    <t xml:space="preserve">Сургууль, боловсролын байгууллага</t>
  </si>
  <si>
    <t xml:space="preserve">Facebook (MNB World)</t>
  </si>
  <si>
    <t xml:space="preserve">https://www.facebook.com/mnbworld/videos/news-mongolia-04032026-/2081325279112896/</t>
  </si>
  <si>
    <t xml:space="preserve">Иргэдийн пост устгах, censorship асуудал</t>
  </si>
  <si>
    <t xml:space="preserve">Зарим хэрэглэгчид пост устгагдсан, account хязгаарлагдсан талаар мэдээлсэн. Үзэл бодлоо илэрхийлэх эрх зөрчигдөж болзошгүй</t>
  </si>
  <si>
    <t xml:space="preserve">Онлайн орчин</t>
  </si>
  <si>
    <t xml:space="preserve">Үзэл бодлоо илэрхийлэх эрх</t>
  </si>
  <si>
    <t xml:space="preserve">Платформ болон зохицуулалт</t>
  </si>
  <si>
    <t xml:space="preserve">Facebook / Twitter хэрэглэгчид</t>
  </si>
  <si>
    <t xml:space="preserve">#censorship хаштагууд</t>
  </si>
  <si>
    <t xml:space="preserve">2026.04.13-17</t>
  </si>
  <si>
    <t xml:space="preserve">2026.04.15</t>
  </si>
  <si>
    <t xml:space="preserve">2026-04-10
2026-04-15</t>
  </si>
  <si>
    <t xml:space="preserve">Сэтгүүлч Л.Баяржаргалын цагдан хорих шийдвэрийг цуцалсангүй</t>
  </si>
  <si>
    <t xml:space="preserve">“Нэгүүн.мн” сайтын сэтгүүлч Л.Баяржаргалыг 2026.04.10-наас нэг сарын хугацаатай цагдан хорьсон бөгөөд өмгөөлөгчийн гаргасан хүчингүй болгуулах хүсэлтийг шүүх 2026.04.14-нд хүлээн авахаас татгалзсан. </t>
  </si>
  <si>
    <t xml:space="preserve">Үзэл бодлоо илэрхийлэх, хэвлэн нийтлэх эрх, хувийн халдашгүй, чөлөөтэй байх эрх, шударга шүүхийн баталгаа</t>
  </si>
  <si>
    <t xml:space="preserve">БЗД-ийн прокурорын байгууллага, анхан шатны шүүх,  мөрдөн шалгах байгууллага</t>
  </si>
  <si>
    <t xml:space="preserve">Шүүх өмгөөлөгчийн хүсэлтийг 2026.04.14-нд хэлэлцээд хүлээн авахаас татгалзсан, цагдан хорих арга хэмжээ хэвээр үлдсэн.</t>
  </si>
  <si>
    <t xml:space="preserve">GoGo.mn (2026.04.15)  шүүхийн шийдвэрийн үргэлжлэл
 iKon.mn (2026.04.10) анхны цагдан хорих шийдвэр</t>
  </si>
  <si>
    <t xml:space="preserve">https://gogo.mn/r/d36x0g
https://ikon.mn/n/3mpa</t>
  </si>
  <si>
    <t xml:space="preserve">2026.04.16</t>
  </si>
  <si>
    <t xml:space="preserve">2026-04-16 11:20</t>
  </si>
  <si>
    <t xml:space="preserve">СӨХ-ийн ажилчид ба оршин суугчдын маргааны үеэр настай хүнийг зодсон байж болзошгүй хэрэг</t>
  </si>
  <si>
    <t xml:space="preserve">Сонгинохайрхан дүүргийн 13-р хорооны 11-р байрны үүдэнд настай хүнийг зодсон гэх дуудлага 2026.04.16-нд бүртгэгдсэн. Шалгалтаар тус байрны СӨХ-ийн ажилчид болон оршин суугчдын хооронд маргаан үүсч, улмаар иргэдийн хооронд зодоон болсон байж болзошгүй нөхцөл тогтоогдсон.</t>
  </si>
  <si>
    <t xml:space="preserve">Улаанбаатар хот, Сонгинохайрхан дүүрэг, 13-р хороо</t>
  </si>
  <si>
    <t xml:space="preserve">Бие махбодын халдашгүй байдал, аюулгүй амьдрах эрх, ахмад настны хамгаалалт</t>
  </si>
  <si>
    <t xml:space="preserve">Тухайн маргаанд оролцсон иргэд / СӨХ-ийн ажилчид (албан ёсоор тогтоогдоогүй)</t>
  </si>
  <si>
    <t xml:space="preserve">Цагдаагийн байгууллага хэргийн шалтгаан, нөхцөлийг тогтоох шалгалтыг үргэлжлүүлж байгаа.</t>
  </si>
  <si>
    <t xml:space="preserve">iSee.mn </t>
  </si>
  <si>
    <t xml:space="preserve">https://isee.mn/n/89972</t>
  </si>
  <si>
    <t xml:space="preserve">2026-04-14
</t>
  </si>
  <si>
    <t xml:space="preserve">Туулын хурдны замын төслийн хүрээнд усны эх үүсвэрт эрсдэл, иргэдийг зураг авахыг хориглосон гэх гомдол</t>
  </si>
  <si>
    <t xml:space="preserve">Экологич болон иргэд Туулын төвлөрсөн усны эх үүсвэрийн ойролцоо шөнийн тээвэрлэлт, хүнд даацын хөдөлгөөн, байгаль орчинд хохирол учруулж болзошгүй нөхцөл байгааг мэдээлсэн. Мөн “хориотой бүс” гэх үндэслэлээр иргэдийг зураг авахыг хориглож, харин компанид шаардлага тавихгүй байна гэж ялгавартай хандлагын шинжтэй гомдол гаргасан.</t>
  </si>
  <si>
    <t xml:space="preserve"> Хан-Уул дүүрэг, Туул голын ундны усны эх үүсвэр орчим</t>
  </si>
  <si>
    <t xml:space="preserve">Эрүүл, аюулгүй орчинд амьдрах эрх, мэдээлэл авах, иргэний оролцооны эрх, тэгш харьцах эрх</t>
  </si>
  <si>
    <t xml:space="preserve">Төслийн хэрэгжүүлэгч компани,  хотын төслийн болон хяналтын холбогдох албан тушаалтнууд</t>
  </si>
  <si>
    <t xml:space="preserve">БОУАӨ-ийн яам төслийн ажлыг хуульд нийцүүлэх хүртэл түр зогсоосон, Засгийн газар сайдад шалгалт хийж, зөрчил тогтоогдвол арга хэмжээ авахыг үүрэг болгосон.</t>
  </si>
  <si>
    <t xml:space="preserve">Mongolcontent/CMSG  иргэний гомдол, экологичийн байр суурь
 </t>
  </si>
  <si>
    <t xml:space="preserve">https://cmsg.mongolcontent.mn/r/ljem49
https://ubn.mn/p/96325</t>
  </si>
  <si>
    <t xml:space="preserve">Үргэлжилсэн
 2026-04-16-нд нийтлэгдсэн</t>
  </si>
  <si>
    <t xml:space="preserve">Туул голын эрэгт “Шүгдэн”-гийн бумба зэрэг зүйлс олноор хаягдаж, голын ай сав бохирдож байна</t>
  </si>
  <si>
    <t xml:space="preserve">Сурвалжилгад Туул голын эрэг, хөвөөнд шашны зан үйлийн шинжтэй “Шүгдэн”-гийн бумба болон бусад зүйлс олноор хаягдаж, усны сав газар бохирдож буйг баримтжуулсан. Иргэдийн итгэл үнэмшлийн нэрээр гол ус, байгаль орчныг бохирдуулж буй практик нь нийтийн эрүүл, аюулгүй орчны эрхтэй зөрчилдөх эрсдэлтэй гэж асуудал хөндсөн.</t>
  </si>
  <si>
    <t xml:space="preserve">Улаанбаатар хот орчмын Туул голын эрэг, ай сав</t>
  </si>
  <si>
    <t xml:space="preserve">Хог, зан үйлийн зүйлсийг хаяж буй   этгээдүүд, хяналт, цэвэрлэгээ сул байгаа эрх бүхий байгууллагууд</t>
  </si>
  <si>
    <t xml:space="preserve">Нийтлэлд тодорхой авсан арга хэмжээ дурдагдаагүй, асуудал нийтэд анхааруулгын хэлбэрээр тавигдсан.</t>
  </si>
  <si>
    <t xml:space="preserve">iSee.mn сурвалжилга </t>
  </si>
  <si>
    <t xml:space="preserve">https://isee.mn/n/89935</t>
  </si>
  <si>
    <t xml:space="preserve">2026 оны 4-р сар</t>
  </si>
  <si>
    <t xml:space="preserve">Баянголд 9.2 кг мөнгөн ус хадгалж байсан</t>
  </si>
  <si>
    <t xml:space="preserve">Экологийн цагдаагийн албанаас Баянгол дүүрэгт худалдах зорилгоор хадгалж байсан 9.2 кг мөнгөн усыг илрүүлж хураан авчээ. Мөнгөн ус нь хүн, ураг, нярайд онцгой аюултай тул ийм тохиолдол нь эрүүл, аюулгүй орчинд амьдрах эрх болон эрүүл мэндийн эрхэд ноцтой эрсдэл үүсгэх шинжтэй.</t>
  </si>
  <si>
    <t xml:space="preserve"> Баянгол дүүрэг</t>
  </si>
  <si>
    <t xml:space="preserve">Эрүүл, аюулгүй орчинд амьдрах эрх</t>
  </si>
  <si>
    <t xml:space="preserve">Мөнгөн ус хууль бусаар хадгалж байсан нэр бүхий этгээдүүд</t>
  </si>
  <si>
    <t xml:space="preserve">Экологийн цагдаагийн алба эд мөрийн баримтаар хураан авч, мөрдөн шалгах ажиллагаа явуулж байна.</t>
  </si>
  <si>
    <t xml:space="preserve">UBN Экологийн цагдаагийн мэдээлэл</t>
  </si>
  <si>
    <t xml:space="preserve">https://ubn.mn/p/96450</t>
  </si>
  <si>
    <t xml:space="preserve">2026.04.20-24</t>
  </si>
  <si>
    <t xml:space="preserve">2026.04.23</t>
  </si>
  <si>
    <t xml:space="preserve">Оюутнууд ажил хийх эрхгүй байдаг юм уу</t>
  </si>
  <si>
    <t xml:space="preserve">Оюутнууд ажил хийх эрхгүй байдаг юм уу
Оюутны дотуур байрны жижүүр шөнө унтах ёстой байдаг юм уу 
(Шөнө  байнга л хаалга тогших чимээ)
Шөнийн 2 цаг хавьцаа энэ охин хаалга тогшоод бараг хагас цаг гадаа жижүүр нь сэрсэн бололтой оруулахгүй гэж хэрэлдээд  энэ охин учирлаж хэлээд гуйгаад ч оруулсангүй охин аргаа бараад яваад өглөө.Ийм хүйтэн  хар шөнө охин хүүхдийг яаа гэж байгаа юм бол </t>
  </si>
  <si>
    <t xml:space="preserve">БГД-25 хороо Оюутны өргөө II</t>
  </si>
  <si>
    <t xml:space="preserve">Аюулгүй байх эрх.
амь нас, эрүүл мэндэд эрсдэл учруулсан, хүнлэг бус, үл хайхрах харьцаа</t>
  </si>
  <si>
    <t xml:space="preserve">Оюутны өргөө II жижүүр</t>
  </si>
  <si>
    <t xml:space="preserve">https://www.facebook.com/groups/574571992993421/permalink/2540288836421717/?mibextid=wwXIfr&amp;rdid=jJCliaxQsr6Ynik4#</t>
  </si>
  <si>
    <t xml:space="preserve">2026.04.27-05.01</t>
  </si>
  <si>
    <t xml:space="preserve">2026.04.27</t>
  </si>
  <si>
    <t xml:space="preserve">2026-04-27</t>
  </si>
  <si>
    <t xml:space="preserve">Ц.Мөнхтуяа: Манай жолооч осол гаргасан, мөргүүлсэн хүн зүгээр л байсан</t>
  </si>
  <si>
    <t xml:space="preserve">
УИХ-ын гишүүн Ц.Мөнхтуяа өчигдөр зам тээврийн осол гаргасан.Тодруулбал, төрийн ордны баруун талд мотоциклтой зорчигчийг “Lexus" маркийн хар өнгийн машин мөргөсөн осол гаргасан юм.</t>
  </si>
  <si>
    <t xml:space="preserve">2026 оны 4 дүгээр сарын 27-ны өдөр 12:30 цагийн орчим Төрийн ордны баруун талын замд гарсан.</t>
  </si>
  <si>
    <t xml:space="preserve">Хүнийг аюултай нөхцөл байдалд үлдээсэн</t>
  </si>
  <si>
    <t xml:space="preserve">УИХ-ын гишүүн Ц.Мөнхтуяа, түүний жолооч</t>
  </si>
  <si>
    <t xml:space="preserve"> Мөргүүлсэн мотоциклтой иргэн зүгээр байсан, уучлал гуйгаад явсан гэж Ц.Мөнхтуяа гишүүн мэдэгдсэн. 
Зам тээврийн ослын хэргийн газар цагдаа нар ажиллаж байна.</t>
  </si>
  <si>
    <t xml:space="preserve">social  орчин</t>
  </si>
  <si>
    <t xml:space="preserve">https://www.instagram.com/reels/DXoE3toFKao/</t>
  </si>
  <si>
    <t xml:space="preserve">2026.04.29</t>
  </si>
  <si>
    <t xml:space="preserve">2026-04</t>
  </si>
  <si>
    <t xml:space="preserve">Бид ялагдав…</t>
  </si>
  <si>
    <t xml:space="preserve">Шүүхийн Ерөнхий зөвлөл гэж байгууллага бий. ( ШЕЗ) 
Тэндэхийн ажилтан нэгэн залуу бүсгүйн гомдлыг
Хүний эрхийн үндэсний комисс нь “ Энэ хүчирхийлэл биш. Харин ажлын байрны найрсаг харилцаа байнаа” гэсэн дүгнэлт гаргаж доромжлов.Одоо гадагшаа хандахаас даа.</t>
  </si>
  <si>
    <t xml:space="preserve">ШЕЗ</t>
  </si>
  <si>
    <t xml:space="preserve">Ажлын байрны бэлгийн дарамт</t>
  </si>
  <si>
    <t xml:space="preserve">ШЕЗ, ХҮЭК</t>
  </si>
  <si>
    <t xml:space="preserve">Сэтгүүлч Ganchimeg Badamdorj </t>
  </si>
  <si>
    <t xml:space="preserve">https://www.facebook.com/story.php?story_fbid=4443773159237570&amp;id=100008147898597&amp;mibextid=wwXIfr&amp;rdid=3spAwJ1uPs49eTQp#</t>
  </si>
  <si>
    <t xml:space="preserve">2026-04-29</t>
  </si>
  <si>
    <t xml:space="preserve">Хугацаат цэргийн албан хаагч өөрийгөө боомилж амиа хорлосон хэргийг шалгаж байна.</t>
  </si>
  <si>
    <t xml:space="preserve">Хилийн цэргийн дугаар ангид хугацаат цэргийн алба хааж байсан байлдагч амь насаа алдсан харамсалтай хэрэг гарлаа. Уг хэрэг энэ сарын 22-ны өдөр бүртгэгдсэн байна. Цагдаагийн ерөнхий газраас өгсөн мэдээллээр, 2026 оны дөрөвдүгээр сарын 22-ны өглөөний 07:50 цагт Төв аймгийн Мөнгөнморьт сумын нутаг, "Харзтайн ам" гэх газарт малын сууринд үүрэг гүйцэтгэж байсан цэрэг боомилсон байдалтай нас барсан гэх дуудлага иржээ.</t>
  </si>
  <si>
    <t xml:space="preserve">Урьдчилсан байдлаар амь хохирогч нь Багануур дүүрэг дэх Хилийн цэргийн дугаар ангид алба хааж байсан байлдагч болох нь тогтоогджээ.</t>
  </si>
  <si>
    <t xml:space="preserve">Амьд явах эрх, Хүний халдашгүй, чөлөөтэй байх эрх, Эрүүдэн шүүх, хүнлэг бус харьцаанаас ангид байх эрх, Хөдөлмөрийн болон албаны аюулгүй нөхцөлд байх эрх, Нэр төр, алдар хүндийн халдашгүй байдал</t>
  </si>
  <si>
    <t xml:space="preserve">Одоогоор цагдаагийн байгууллагаас хэргийн шалтгаан нөхцөлийг тодруулахаар мөрдөн шалгах ажиллагааг эхлүүлээд байна.</t>
  </si>
  <si>
    <t xml:space="preserve">newsroom.mn</t>
  </si>
  <si>
    <t xml:space="preserve">https://www.facebook.com/photo?fbid=122168961038663314&amp;set=a.122108145662663314</t>
  </si>
  <si>
    <t xml:space="preserve">2026.04.30</t>
  </si>
  <si>
    <t xml:space="preserve">Зангиа зүүсэнгүй гээд ангийн багш нь хайч бариад хайчлаад явуулсан байх юм. Бас арай л муухай санагдлаа. Хүүхэд хайчилсан бол юу ч хэлэхгүй ээ. Багш нь хүүхдүүдийнхээ шүү. Багшийн ёс зүй, энэрэх хайрлах сэтгэл хаана байна </t>
  </si>
  <si>
    <t xml:space="preserve">ЕБС</t>
  </si>
  <si>
    <t xml:space="preserve">Хүүхдийн эрхийн тухай хууль "7.1.Хүүхэд гэмт хэрэг, зөрчил, хүчирхийлэл, бие махбодийн шийтгэл, сэтгэл санааны дарамт, үл хайхрах байдал болон мөлжлөгийн аливаа хэлбэрээс нийгмийн бүх орчинд хамгаалагдах эрхтэй", Сургуулийн өмнөх болон ерөнхий боловсролын сургалтын байгууллагын багш, ажилтны мэргэжлийн ёс зүйн дүрмийн 4.2.2.Суралцагчид бие махбодийн шийтгэл, сэтгэл санааны дарамт үзүүлэх, хүчээр албадахаас татгалзах;.</t>
  </si>
  <si>
    <t xml:space="preserve">ЕБС-ийн багш</t>
  </si>
  <si>
    <t xml:space="preserve">-</t>
  </si>
  <si>
    <t xml:space="preserve">twitter</t>
  </si>
  <si>
    <t xml:space="preserve">https://x.com/zulegchin_zul/status/2049675579117670498/photo/1</t>
  </si>
  <si>
    <t xml:space="preserve">2026.05.04-08</t>
  </si>
  <si>
    <t xml:space="preserve">2026.05.03</t>
  </si>
  <si>
    <t xml:space="preserve">2026-05-03</t>
  </si>
  <si>
    <t xml:space="preserve">БОДЬ”-ИЙН БОСС, ОФФТЕЙКИЙН ХААН, АТГ-ЫН АЛДУУЛ Д.БАЯСГАЛАН</t>
  </si>
  <si>
    <t xml:space="preserve">Санзай хотхонд оршин суудаг зарим иргэний гэрийн хаягийг дроноор зураг авч нийтэд мэдээлсэн.</t>
  </si>
  <si>
    <t xml:space="preserve">Халдашгүй байдал, хүний хувийн мэдээлэл хамгаалалт</t>
  </si>
  <si>
    <t xml:space="preserve">Цахим сайтууд</t>
  </si>
  <si>
    <t xml:space="preserve">https://www.facebook.com/photo?fbid=1534570931563990&amp;set=pcb.1534571024897314</t>
  </si>
  <si>
    <t xml:space="preserve">2026.05.04</t>
  </si>
  <si>
    <t xml:space="preserve">2026-05-04</t>
  </si>
  <si>
    <t xml:space="preserve">Шүүх үнэхээр болохгүй байна.</t>
  </si>
  <si>
    <t xml:space="preserve">Justice Delayed Is Justice Denied гэдэг үг бий. Үгчилж орчуулбал “Хойшлогдсон шудрага ёс бол үгүйсгэгдсэн шудрага ёс” буюу “Хэрэг маргааныг хугацаанд нь шийдээгүй бол огт шийдээгүйгээс ялгаагүй” агуулгатай. 
Аливаа асуудлыг үнэн зөвөөр шийдэх нь чухал боловч цаг хугацаанд нь шийдэх нь түүнээс дутуугүй чухал. Үүн дээр манай шүүхийнхэн фэйлдэж байгаа.</t>
  </si>
  <si>
    <t xml:space="preserve">Шүүх</t>
  </si>
  <si>
    <t xml:space="preserve">Шударга шүүхээр шүүлгэх</t>
  </si>
  <si>
    <t xml:space="preserve">https://www.facebook.com/story.php?story_fbid=966537989670660&amp;id=100089434025594&amp;mibextid=wwXIfr&amp;rdid=uOiUtvncs4i01o6e#</t>
  </si>
  <si>
    <t xml:space="preserve">“Сэтгүүлчид дуугарахгүй бол хүний эрхийн зөрчил улам газар авч, нийгэм уруудна”</t>
  </si>
  <si>
    <t xml:space="preserve">News.mn болон X/Facebook дээр хэвлэл мэдээллийн эрх чөлөө, сэтгүүлчдийн эрхийн зөрчил, айлган сүрдүүлэх, биед халдах, дарамт шахалтын талаар ярилцлага/мэдээ түгсэн. Нийтлэлд Монголд сэтгүүлчдийн эрхийн зөрчил, ажлын нөхцөлд мэдэгдэхүйц өөрчлөлт гараагүй гэж дурдсан.</t>
  </si>
  <si>
    <t xml:space="preserve">Улаанбаатар хот / Монгол Улс</t>
  </si>
  <si>
    <t xml:space="preserve">Үзэл бодлоо илэрхийлэх эрх; хэвлэлийн эрх чөлөө; аюулгүй ажиллах эрх</t>
  </si>
  <si>
    <t xml:space="preserve">Төрийн болон төрийн бус этгээд, албан тушаалтан байж болзошгүй (нийтлэлд ерөнхийлсөн)</t>
  </si>
  <si>
    <t xml:space="preserve">Шууд арга хэмжээ  ; асуудал олон нийтэд мэдээлэгдсэн</t>
  </si>
  <si>
    <t xml:space="preserve">News.mn, News.mn, Facebook, Twitter</t>
  </si>
  <si>
    <t xml:space="preserve">https://x.com/News_mn/status/2050820114447212810</t>
  </si>
  <si>
    <t xml:space="preserve">2026.05.06</t>
  </si>
  <si>
    <t xml:space="preserve">Хүний эрх зөрчсөн Увс аймгийн Засаг даргын орлогч С.Анхбаяр ажлаа хийж явна</t>
  </si>
  <si>
    <t xml:space="preserve">Eguur.mn болон X/Facebook дээр С.Анхбаярыг ХЭҮК-оос хүний эрх зөрчсөн гэж дүгнэсэн ч ажил үүргээ гүйцэтгэж байгаа талаар мэдээлсэн. Аймгийн Засаг дарга албан ёсоор ажилдаа ирсний дараа сонсгол явуулж, асуудлыг хэлэлцэнэ гэж дурдсан.</t>
  </si>
  <si>
    <t xml:space="preserve">Увс аймаг Наранбулаг сум</t>
  </si>
  <si>
    <t xml:space="preserve">Хүний нэр төр, халдашгүй байдал, төрийн албан тушаалтны зүй бус үйлдлээс хамгаалуулах эрх</t>
  </si>
  <si>
    <t xml:space="preserve">Увс аймгийн Засаг даргын орлогч С.Анхбаяр</t>
  </si>
  <si>
    <t xml:space="preserve">ХЭҮК дүгнэлт гаргасан. ймгийн Засаг дарга сонсгол явуулж хэлэлцэнэ гэж мэдээлсэн, хариуцлагын шийдвэр гараагүй</t>
  </si>
  <si>
    <t xml:space="preserve">Eguur.mn,  Facebook, Twitter</t>
  </si>
  <si>
    <t xml:space="preserve">https://x.com/Eguur_mn/status/2051542289936433336</t>
  </si>
  <si>
    <t xml:space="preserve">2026.05.07</t>
  </si>
  <si>
    <t xml:space="preserve">2026 оны 4 дүгээр сарын статистик, 2026.05.07-нд нийтлэгдсэн</t>
  </si>
  <si>
    <t xml:space="preserve">2026 оны 04 дүгээр сард 840,017 зөрчил бүртгэгджээ</t>
  </si>
  <si>
    <t xml:space="preserve">MNB болон GoGo-д УЕПГ-ын мэдээлэлд үндэслэн улсын хэмжээнд 2026 оны 4 дүгээр сард 840,017 зөрчил бүртгэгдсэн, 89.3 хувь нь нийслэлд бүртгэгдсэн, олон нийтийн газарт зүй бусаар биеэ авч явах зөрчил 14,104 болж өссөн талаар мэдээлсэн.</t>
  </si>
  <si>
    <t xml:space="preserve"> Улаанбаатар хот давамгай</t>
  </si>
  <si>
    <t xml:space="preserve">Аюулгүй орчинд амьдрах эрх, нийтийн хэв журам, хохирол нөхөн төлүүлэх эрх</t>
  </si>
  <si>
    <t xml:space="preserve">Зөрчил гаргасан хувь хүн, хуулийн этгээдүүд</t>
  </si>
  <si>
    <t xml:space="preserve">Цагдаа, Гааль, Татвар, ГИХГ зэрэг эрх бүхий байгууллагууд зөрчил шалган шийдвэрлэх ажиллагаа явуулсан. Шүүхээс 0.4 хувьд шийтгэл оногдуулсан</t>
  </si>
  <si>
    <t xml:space="preserve">MNB, GoGo, УЕПГ-ын мэдээлэл</t>
  </si>
  <si>
    <t xml:space="preserve">https://www.mnb.mn/i/345409</t>
  </si>
  <si>
    <t xml:space="preserve">2026.05.11-15</t>
  </si>
  <si>
    <t xml:space="preserve">2026.05.12</t>
  </si>
  <si>
    <t xml:space="preserve">2026-05-11</t>
  </si>
  <si>
    <t xml:space="preserve">Өдөр шөнөгүй дуу чимээнд галзуурлаа.</t>
  </si>
  <si>
    <t xml:space="preserve"> Онцгой байдлын Серена дохионоос илүү дугарах юи. Тайван амьдарчмаар байна. Амралтын өдөрч түчигнэчихийн. </t>
  </si>
  <si>
    <t xml:space="preserve">ХУД, Шилтгээн хотхоны урд АПУ ХХК-ийн зүүн талд </t>
  </si>
  <si>
    <t xml:space="preserve">Эрүүл, аюулгүй орчинд амьдрах эрх, Хүүхдийн эрүүл өсөж хөгжих эрх.Зохистой амьжиргааны түвшинд амьдрах эрх  Хууль тогтоомжоор тогтоосон хэм хэмжээгээр хамгаалуулах эрх</t>
  </si>
  <si>
    <t xml:space="preserve">Камдер" ХХК</t>
  </si>
  <si>
    <t xml:space="preserve">https://x.com/erdeneundaroyu/status/2053941920666362041</t>
  </si>
  <si>
    <t xml:space="preserve">2026-05-12</t>
  </si>
  <si>
    <t xml:space="preserve">ШӨНИЙН “ОРИЛСОН ЯНДАН”-Г ЗОГСООХОД НЭГДЭЭРЭЙ</t>
  </si>
  <si>
    <t xml:space="preserve">facebook</t>
  </si>
  <si>
    <t xml:space="preserve">https://shorturl.at/sgJwW</t>
  </si>
  <si>
    <t xml:space="preserve">БЗД-ийн Цагдаагийн 1-р хэлтсийн мэдүүлэг авах өрөө хүүхдийн эрх зөрчиж байгаа тухай</t>
  </si>
  <si>
    <t xml:space="preserve">БЗД-ийн Цагдаагийн 1-р хэлтсийн мэдүүлэг авах өрөөний цус нөж, эвлэрхий хэмхэрхий сандалнуудыг солиулж хүүхдийн эрхийг хангуулах</t>
  </si>
  <si>
    <t xml:space="preserve">БЗД-ийн Ц1Х-ийн мэдүүлаг авах өрөө</t>
  </si>
  <si>
    <t xml:space="preserve">БЗД-ийн Цагдаагийн 1 дүгээр хэлтэс</t>
  </si>
  <si>
    <t xml:space="preserve">https://www.facebook.com/share/v/15niYiD3REY/?mibextid=wwXIfr</t>
  </si>
  <si>
    <t xml:space="preserve">2026.05.14</t>
  </si>
  <si>
    <t xml:space="preserve">2026-05-14</t>
  </si>
  <si>
    <t xml:space="preserve">Хан-Уул дүүрэг, ажил хийж бгаа ганц ч хүн алга. Хүүхэд хөгшид нүхэнд унаж хөл гараа хугалахаар л бна</t>
  </si>
  <si>
    <t xml:space="preserve">ХУД</t>
  </si>
  <si>
    <t xml:space="preserve">Эрүүл аюулгүй орчинд амьдрах эрх, Амь нас, бие махбодын халдашгүй байдлын эрх, Хөгжлийн бэрхшээлтэй хүний эрх, Чөлөөтэй зорчих эрх</t>
  </si>
  <si>
    <t xml:space="preserve">https://x.com/ariukaaboby/status/2054789815020007486</t>
  </si>
  <si>
    <t xml:space="preserve">Иргэний сэрэмжлүүлэг</t>
  </si>
  <si>
    <t xml:space="preserve">Өчигдөр орой нөхөртэйгөө хоолоо шингээгээд алхахаар гарсан юм. Кино үйлдвэрийн явган хүний гарцан дээр бүх машин улаан гэрлээрээ зогсчихсон, хүмүүс ногоон гэрлээрээ гарч байсан. Бид 2 ч бас гарцаар гарах гээд алхтал ардаас маш хурдтай, ямар ч чимээгүй явдаг мотоцикл/скүүтер шиг юм шууд дайраад зугтаагаад алга болсон…</t>
  </si>
  <si>
    <t xml:space="preserve">УБ хот</t>
  </si>
  <si>
    <t xml:space="preserve">Амьд явах болон бие махбодын халдашгүй байдлын эрх, Чөлөөтэй зорчих эрх, Хүртээмжтэй, аюулгүй хот, орчинд амьдрах эрх</t>
  </si>
  <si>
    <t xml:space="preserve">https://x.com/XGerlee/status/2054819313547346201</t>
  </si>
  <si>
    <t xml:space="preserve">2026.05.18-22</t>
  </si>
  <si>
    <t xml:space="preserve">2026.05.16</t>
  </si>
  <si>
    <t xml:space="preserve">Тавхан настай айлын жаахан хүүхдийг хөлийг нь дөрөөтэй нь хүлж хурдан морь унуулаад, хүүхэд мориноосоо унаж гэмтэлийн эмнэлэгт 14 хоноод, эх нялхаст эмчлүүлж байна. Одоо ч бие нь сайнгүй. </t>
  </si>
  <si>
    <t xml:space="preserve">Тавхан настай айлын жаахан хүүхдийг хөлийг нь дөрөөтэй нь хүлж хурдан морь унуулаад, хүүхэд мориноосоо унаж гэмтэлийн эмнэлэгт 14 хоноод, эх нялхаст эмчлүүлж байна. Одоо ч бие нь сайнгүй. 
Нөгөө олон хүний эрх, хүүхдийн эрх хамгаалагчид ажлаа хийгээч!!!</t>
  </si>
  <si>
    <t xml:space="preserve">Амьд явах, эсэн мэнд өсөж хөгжих эрх, Аливаа хэлбэрийн хүчирхийлэл, хайхрамжгүй хандлагаас ангид байх эрх,Хөдөлмөрийн мөлжлөг, хүүхдийн хөдөлмөрийн тэвчишгүй хэлбэрээс хамгаалуулах эрх,Хүүхдийн язгуур ашиг сонирхлыг нэн тэргүүнд тавих зарчмын зөрчил</t>
  </si>
  <si>
    <t xml:space="preserve">https://www.facebook.com/100001721631371/posts/27112941285013226/?rdid=10Bqt5i9Iswj0y8s#</t>
  </si>
  <si>
    <t xml:space="preserve">Зодуулсан гэх цэргийн аав: Хүүг минь зодчихоод ар гэрт нь хэлэхгүй хагалгаанд оруулах гэж байсныг мэдлээ. Генералын хүү гэж өөрийгөө хэлдэг залуу цэргүүдийг "Хаана цохиулахаа өөрөө сонго" гэж дарамталж байгаад зоддог гэдгийг сонсоод шоконд ороод байна</t>
  </si>
  <si>
    <t xml:space="preserve">Дорнод аймагт байрлах Хил хамгаалах ерөнхий газрын 132 дугаар ангийн салааны захирагч Т нь долоон цэргийг зодож, хоёр цэргийн биеийн байдал хүндэрч, хагалгаанд орохоор болжээ.
Энэ талаар зодуулсан гэх цэргийн аав С.Мөнхбатаас тодрууллаа. Тэрбээр “Миний хүү их сургуулийн гуравдугаар дамжаанд суралцаж байсан. Энэ жил өөрийн хүсэлтээр цэрэгт явахаар болсон. Манай хүүтэй хамт СХД-ээс цэрэгт татагдсан долоон хүүхдийг бүгдийг нь зодсон. Нэг хүүхдийн эрүү хугарч, өнөөдөр хагалгаанд орж байна.
Эрүүл саруул гэж оношлоод авч явсан хүүхдүүдийг өөрийгөө генералын хүү хэмээн томордог, ‘Хаана цохиулахаа өөрөө сонго’ хэмээн дарамталдаг тус ангийн салааны захирагч Тэмүүжин гэх залууд маш их гомдолтой байна. Миний хүүгээс хэдхэн ах залуу байна лээ.
Зодуулсан хүүхдүүдийн эцэг эх камерын бичлэг үзэх гэсэн боловч “Камер ажиллахгүй, бичлэг байхгүй” гэж хэлсэн.
Мөн цэрэгт тэнцэж, тангараг өргөхөөр очсон долоон хүүхдийн хоёрыг нь сэтгэцийн өвчтэй хэмээн цэргээс халж байна. Нэг нь бүр Америкаас цэрэгт явахаар ирсэн хүүхэд байгаа. Миний хүүг зодчихоод Дорнод аймагт гэрийнхэнд нь хэлэлгүй хагалгаанд оруулах гэж байсныг хүү маань өөрөө эсэргүүцэж байж, өчигдөр Улаанбаатар хотод ирэхэд нь би мэдсэн.
Эмч нар бөөр нь тус газраа өшиглүүлснээс үрийн суваг нь хаагдсан, хагалгаанд орж нээх шаардлагатай гэсэн. Нарийн мэргэжлийн хэллэгийг нь сайн мэдэхгүй байна. Эрүүл саруул хүү минь эх орноо хамгаална гэж яваад үргүй болох хэмжээнд хүрээд ирнэ гэж даанч санасангүй” хэмээлээ</t>
  </si>
  <si>
    <t xml:space="preserve">Хил хамгаалах ерөнхий газрын 132 дугаар анги</t>
  </si>
  <si>
    <t xml:space="preserve">Эрүү шүүлт, хүнлэг бус, хэрцгий харьцаанаас ангид байх эрх, Амьд явах, биеийн халдашгүй байдалд эзэн байх эрх, Эрүүл мэндээ хамгаалуулах, эмнэлгийн тусламж авах эрх, Сэтгэл зүйн хүчирхийлэлд өртөхгүй байх эрх</t>
  </si>
  <si>
    <t xml:space="preserve">Хил хамгаалах ерөнхий газрын 132 дугаар ангийн салааны захирагч</t>
  </si>
  <si>
    <t xml:space="preserve">https://www.facebook.com/100063933908097/posts/1480690020738781/?rdid=wiL07pClem4g2rpw#</t>
  </si>
  <si>
    <t xml:space="preserve">2026.05.18</t>
  </si>
  <si>
    <t xml:space="preserve">Хүүхдийнх нь дэргэд ээжийг нь хүчиндсэн этгээдүүдийн хэргийг Булганыхан шийдвэрлэж чадахгүй 2 дахь жилтэйгээ золгож байна</t>
  </si>
  <si>
    <t xml:space="preserve">Ноцтой нь, хэрэг гараад 1 жид 9 сарын хугацаа өнгөрч байхад хэрэг эцэслэгдээгүй, хохирогч бүсгүй нэр төр, сэтгэл санаа, эрүүл мэндээрээ хохирсон хэвээр байна. Уг хэрэгт мөрдөгч, прокурорууд хэд, хэд солигджээ.</t>
  </si>
  <si>
    <t xml:space="preserve">Булган аймаг 3 булаг сум</t>
  </si>
  <si>
    <t xml:space="preserve">Сэжигтнүүд Гурванбулаг сумын харьяатэрхэлсэн тодорхой ажилгүй 30 настай Б.Одонбат, 20 настай Б.Бат-Эрдэнэ</t>
  </si>
  <si>
    <t xml:space="preserve">Шүүхээс хэрэгтнүүдийг баривчлах захирамжийг 2026.02 дугаар сард гаргаж, Б.Одонбатыг баривчилсан бол Б.Бат-Эрдэнэ нь Япон руу гарч сураггүй болжээ. Хуулийнхан Интерполоор эрэн сурвалжилна гэж мэдэгдэж байсан ч өнөөдөр хүртэл хүнд гэмт хэрэгт сэжиглэгдэж байгаа этгээдийн сургийг гаргаж чадаагүй байна. Уг хэрэгт холбогдох шүүх хурал 2026.05.27-нд  болохоор товлосон.</t>
  </si>
  <si>
    <t xml:space="preserve">Tsahiur.mn, сэтгүүлч Б.Энхзаяа, 2026-05-18</t>
  </si>
  <si>
    <t xml:space="preserve">https://tsahiur.mn/n/s/27019</t>
  </si>
  <si>
    <t xml:space="preserve">2026.05.19</t>
  </si>
  <si>
    <t xml:space="preserve">2026-05-18</t>
  </si>
  <si>
    <t xml:space="preserve">Хоолны газрын хана нурааж байсан 15 настай хүүхэд амиа алджээ</t>
  </si>
  <si>
    <t xml:space="preserve">Нийслэлийн Баянгол дүүргийн III, IV хороололд байрлах “Кимбаб Чонгүг” сүлжээ хоолны газрын дотор заслын ажилд хичээлийн цагаар, хөдөлмөрийн аюулгүй байдал хангагдаагүй нөхцөлд оролцуулсан, ЕБС-ийн 15 настай Т гэгч сурагч хана нурааж байх үед түүнд дарагдан амь насаа алдсан. Урьдчилсан байдлаар насанд хүрээгүй хүүхдээр хууль бусаар хөдөлмөр эрхлүүлсэн, ажлын байрны аюулгүй байдал зөрчигдсөн нь тогтоогджээ.</t>
  </si>
  <si>
    <t xml:space="preserve"> Баянгол дүүрэг, III, IV хороолол</t>
  </si>
  <si>
    <t xml:space="preserve">Амьд явах эрх; Хүүхдийн эрх (хамгаалуулах, хөдөлмөрийн мөлжлөгөөс ангид байх); Боловсрол эзэмших эрх; Хөдөлмөрийн аюулгүй, эрүүл ахуйн шаардлагад нийцсэн нөхцөлд ажиллах эрх</t>
  </si>
  <si>
    <t xml:space="preserve">“Кимбаб Чонгүг” сүлжээ хоолны газрын эзэн/ажил олгогч, Засварын ажил гүйцэтгэгч этгээд; Хүүхдийн асран хамгаалагч </t>
  </si>
  <si>
    <t xml:space="preserve">Баянгол дүүргийн цагдаагийн хэлтэс эрүүгийн хэрэг үүсгэн шалгаж эхэлсэн. Хүүхдээр хууль бусаар хөдөлмөр эрхлүүлсэн, хөдөлмөрийн аюулгүй байдал алдагдсан эсэхэд мөрдөн шалгах ажиллагаа үргэлжилж байна.</t>
  </si>
  <si>
    <t xml:space="preserve">News.MN, сэтгүүлч А.Тамир, 2026-05-19</t>
  </si>
  <si>
    <t xml:space="preserve">https://news.mn/r/2867418/</t>
  </si>
  <si>
    <t xml:space="preserve">2026-04-10-нээс 2026-05-19</t>
  </si>
  <si>
    <t xml:space="preserve">Жолооны үнэмлэхгүй сурагчдын 262 цахилгаан мотоциклыг журамлажээ</t>
  </si>
  <si>
    <t xml:space="preserve">Тээврийн цагдаагийн алба болон Урьдчилан сэргийлэх хэлтсийн мэдээлснээр, дөрөвдүгээр сарын 10-наас хойш Улаанбаатар хотод 16 нас хүрээгүй хүүхдүүд цахилгаан скүүтер, мопед жолоодсон 160 гаруй зөрчил илрүүлж, хөдөлгөөнд оролцсон ЕБС-ийн сурагчдын 262 цахилгаан мотоциклыг түр саатуулан журамласан. Эцэг эх, асран хамгаалагч нарт нь 440 торгуулийн арга хэмжээ тооцсон. Энэ хугацаанд хоёр дугуйт тээврийн хэрэгсэлтэй холбоотой 78 осол бүртгэгджээ.</t>
  </si>
  <si>
    <t xml:space="preserve">Улаанбаатар хот (нийслэлийн нийт нутаг дэвсгэр)</t>
  </si>
  <si>
    <t xml:space="preserve">Хүүхдийн амьд явах, эрүүл, аюулгүй орчинд өсөх эрх; Хүүхдийг осол, эрсдэлээс хамгаалуулах эрх; Хөдөлгөөний аюулгүй байдлаар хангагдах эрх</t>
  </si>
  <si>
    <t xml:space="preserve">Эцэг эх, асран хамгаалагч (хүүхдэд цахилгаан скүүтер, мопед унуулсан); Скүүтер түрээслүүлэх үйлчилгээ эрхлэх аж ахуйн нэгжүүд (E-Mongolia системд бүртгүүлээгүй, эвдрэлтэй техник хэрэгсэл нийлүүлсэн)</t>
  </si>
  <si>
    <t xml:space="preserve">Тээврийн цагдаагийн алба түрээсийн долоон ААН-д долоон албан мэдэгдэл хүргүүлж, хоёр ААН-д Зөрчлийн тухай хуулиар хариуцлага тооцох албан мэдэгдэл өгсөн. Нийслэлийн 317 ерөнхий боловсролын сургуульд зөвлөмж, аудио шторк хүргүүлж, 150 нийтийн цагдаа гудамж замд ажиллаж байна. Сургуулийн орчинд 30 цагдаагийн алба хаагч эргүүлийн үүрэг гүйцэтгэж байна.</t>
  </si>
  <si>
    <t xml:space="preserve">https://news.mn/r/2867369/</t>
  </si>
  <si>
    <t xml:space="preserve">2026.05.20</t>
  </si>
  <si>
    <t xml:space="preserve">УИХ-ын гишүүн У.Отгонбаяр, О.Алтангэрэл, Н.Батсүмбэрэл, Ж.Бат-Эрдэнэ, Ш.Бямбасүрэн, М.Ганхүлэг, Ц.Даваасүрэн, Х.Жангабыл нарын гишүүд хаврын морин уралдааныг аймаг, нийслэлд жил бүр зохион байгуулах хуулийн төсөл санаачилжээ.</t>
  </si>
  <si>
    <t xml:space="preserve">УИХ-ын гишүүн У.Отгонбаяр, О.Алтангэрэл, Н.Батсүмбэрэл, Ж.Бат-Эрдэнэ, Ш.Бямбасүрэн, М.Ганхүлэг, Ц.Даваасүрэн, Х.Жангабыл </t>
  </si>
  <si>
    <t xml:space="preserve">https://www.facebook.com/story.php?story_fbid=1305486858425685&amp;id=100068931495575&amp;rdid=GVLdPVqWwb5hxmeS#</t>
  </si>
  <si>
    <t xml:space="preserve">БНСУ-д ажиллахаар явсан монгол эмэгтэй ажлын байрны дарамтанд өртөж, холбогдох хүмүүст энэ талаараа хэлсээр байсан ч тусламж авч чадаагүй. Эцэст нь Солонгосын гудамжинд галзуурсан байдалтай нүцгэн явж байхыг нь цагдаа нар олж, Монгол руу албадан буцаажээ</t>
  </si>
  <si>
    <t xml:space="preserve">БНСУ</t>
  </si>
  <si>
    <t xml:space="preserve">Хөдөлмөрлөх таатай, аюулгүй нөхцөл бүрдүүлэх эрх, Эрүү шүүлт, хүнлэг бус, нэр төрийг доромжилсон харьцаанаас ангид байх эрх, Эрүүл мэндээ хамгаалуулах эрх, ялангуяа сэтгэцийн эрүүл мэнд, Консулын туслалцаа авах эрх</t>
  </si>
  <si>
    <t xml:space="preserve">Могнгол Улсаас БНСУ-д суух элчин сайдын яам, ажил олгогч  </t>
  </si>
  <si>
    <t xml:space="preserve">Tsahiur.mn</t>
  </si>
  <si>
    <t xml:space="preserve">https://www.facebook.com/Tsahiur.mn/videos/%D0%B0%D1%81%D1%83%D1%83%D0%B4%D0%BB%D1%8B%D0%BD-%D0%BC%D3%A9%D1%80%D3%A9%D3%A9%D1%80-%D0%B1%D0%BD%D1%81%D1%83-%D0%B4-%D0%B0%D0%B6%D0%B8%D0%BB%D0%BB%D0%B0%D1%85%D0%B0%D0%B0%D1%80-%D1%8F%D0%B2%D1%81%D0%B0%D0%BD-%D0%BC%D0%BE%D0%BD%D0%B3%D0%BE%D0%BB-%D1%8D%D0%BC%D1%8D%D0%B3%D1%82%D1%8D%D0%B9-%D0%B0%D0%B6%D0%BB%D1%8B%D0%BD-%D0%B1%D0%B0%D0%B9%D1%80%D0%BD%D1%8B-%D0%B4%D0%B0%D1%80%D0%B0%D0%BC%D1%82%D0%B0%D0%BD%D0%B4-%D3%A9%D1%80/1535035791631959/?mibextid=wwXIfr&amp;rdid=r47l6Zb4Hmu8qgJJ</t>
  </si>
  <si>
    <t xml:space="preserve">2026-05-19</t>
  </si>
  <si>
    <t xml:space="preserve">15 настай хүү цооногт унасан гөлөг аврах гэж байгаад амиа алджээ</t>
  </si>
  <si>
    <t xml:space="preserve">Хүүгийн ээж: Хүү минь 08:00 цагт хичээлдээ очоод, 10:20 цагт завсарласан байна лээ. Энэ цагийнх нь завсарлагаа 10-20 минут үргэлжилдэг, их завсарлагаа байдаг юм уу даа. 
Тэгээд нөгөө ангийнхаа найзалдаг хүүтэй сургуулиасаа урагш 500 метр орчим гүйсэн. Тэнд нь цэвэр, бохир усны гэмээр шугам хоолой, далан, цооног байдаг. Ямар ч хашаа хороо, камер, орж болохгүй гэсэн тэмдэглэгээ байхгүй. 
Хүү минь найзтайгаа гүйгээд очиход цооногт нь жижигхэн нохойн гөлөг живэх гээд тарчилж байсан юм шиг байна лээ. Тэгээд жижигхэн гөлгийг аврахын тулд өмд, гутлаа тайлаад, утсаа хажууд нь тавиад, цооног руу орсон байгаа юм. Магадгүй сургуулийнх нь тэндээс нохойн гөлөгний гасалж байгаа сонсогдсон байх. Эсвэл хүүхэд л юм болохоор тэнд юу байгааг сонирхоод очсон байж мэдэх юм. 
Найз нь үлдээд, хүү минь цооног руу орсон ч хөлгүй учраас живчихсэн гэсэн. Хүүг минь гарч ирэхгүй болохоор нь найз нь хар хурдаараа гүйгээд, аврах ангийнхнаас тусламж гуйсан гэсэн. Аврагчдыг очих үед миний хүү хэдийн амьсгал хураачихсан байсан гэсэн.</t>
  </si>
  <si>
    <t xml:space="preserve">Хүүхдийн амьд явах, эрүүл, аюулгүй орчинд өсөх эрх, Хүүхдийг осол, эрсдэлээс хамгаалуулах эрх,  Хүүхдийн тэргүүн ач холбогдол ба аюулгүй орчинд хамгаалуулах эрх, Сурч боловсрох эрхийн нэг бүрэлдэхүүн болох сургуулийн хариуцлага, хичээлийн цаг дахь хүүхдийн аюулгүй байдлыг хангах үүрэг</t>
  </si>
  <si>
    <t xml:space="preserve">https://www.facebook.com/100063933908097/posts/1485016500306133/?mibextid=wwXIfr&amp;rdid=ZOSUnUcvvLd0t953#</t>
  </si>
  <si>
    <t xml:space="preserve">2026.05.21</t>
  </si>
  <si>
    <t xml:space="preserve">"Дүү минь бяртай, том биетэй. Ганц хүн аминд нь хүрч чадахгүй, бүлэглэл байсан уу гэдгийг шалгаж байгаа"</t>
  </si>
  <si>
    <t xml:space="preserve">Баянхонгор аймаг дахь Зэвсэгт хүчний 339 дүгээр ангид хугацаат цэргийн албан хаагч зодуулсан байдалтай амиа алдсан хэрэг гараад байгааг бид өмнө нь мэдээлсэн. Тэрээр 2025 намар цэрэгт татагдсан бөгөөд камергүй өрөөнд авч орон зодсон, үүнийг харсан цэргүүд мэдүүлэг өгсөн гэгдэж байгаа юм. </t>
  </si>
  <si>
    <t xml:space="preserve">Баянхонгор аймаг, Зэвсэгт хүчний 339 дүгээр анги</t>
  </si>
  <si>
    <t xml:space="preserve">Зэвсэгт хүчний 339 дүгээр ангийн дарга, салаан дарга гэх мэт</t>
  </si>
  <si>
    <t xml:space="preserve">Tsahiur.mn, сэтгүүлч Б.Энхзаяа, 2026-05-21</t>
  </si>
  <si>
    <t xml:space="preserve">https://tsahiur.mn/n/s/27043?fbclid=IwdGRjcAR7VfJleHRuA2FlbQIxMQBzcnRjBmFwcF9pZAo2NjI4NTY4Mzc5AAEe8xCjz4Kz2JBAfrN0zqy8iewvRQTictPZTj4VKvaP-sjeV06lijcuf3ic4PQ_aem_lNZLVDJpjS7KDclMwFuA1A</t>
  </si>
  <si>
    <t xml:space="preserve">Цас их орсон Увс аймгийн Түргэн суманд нялх хүүхэдтэй, жирэмсэн эмчийг дуудлагад явган явуулсан хэмээн цахим сүлжээнд нийтэлсэн иргэнтэй холбогдож энэ талаар тодрууллаа</t>
  </si>
  <si>
    <t xml:space="preserve">Н.Мягмарбат “Дуудлагад явсан эмч миний дүү. Жирэмсэн тухайн өдөр хүүхдийг нь харах хүнгүй байсан байна лээ. Манай суманд гурван өдөр цас орсон. Явган битгий хэл машинтай явахад ч хүндрэлтэй байсан. Над руу залгаад ‘Алхаж чадахгүй байна, ирээд аваач’ гэхээр нь би очсон. Эмнэлэгт нь хүргэж өгөхөд түргэн тусламжийн хоёр машин хашаан дотор байсан. Эмнэлгийн даргатай уулзахад ‘Дотоод ажлын зохион байгуулалт, буруу зөрүү ойлголцол гарсан байна’ гэж хэлсэн. Ямар ч асуудал байлаа гэсэн жирэмсэн хүнийг түргэн тусламжийн машин байсаар байхад явган явуулсанд нь бухимдаж байна. Өнөөдөр Эрүүл мэндийн газраас манай суманд ирж ажиллана гэсэн” хэмээлээ.</t>
  </si>
  <si>
    <t xml:space="preserve">Увс аймаг, Түргэн сум</t>
  </si>
  <si>
    <t xml:space="preserve">Жирэмсэн ажилтны тусгай хамгаалал бүхий хөдөлмөрлөх аюулгүй нөхцөлийн эрх, Эх, хүүхдийг тусгайлан хамгаалах төрийн үүрэг, Жендэрт суурилсан болон жирэмсний шинж байдлаар ялгаварлан гадуурхалтад өртөхгүй байх эрх, Амь нас, эрүүл мэнд, биеийн халдашгүй байдлын эрх, нөхөн үржихүйн эрүүл мэндээ хамгаалуулах эрх</t>
  </si>
  <si>
    <t xml:space="preserve">Увс аймаг, Түргэн сумын эмнэлэгийн удирдлага</t>
  </si>
  <si>
    <t xml:space="preserve">https://www.facebook.com/story.php?story_fbid=1485197123621404&amp;id=100063933908097&amp;post_id=100063933908097_1485197123621404&amp;rdid=ezRetvfLchdAzBgv#</t>
  </si>
  <si>
    <t xml:space="preserve">2026.05.25-29</t>
  </si>
  <si>
    <t xml:space="preserve">2026.05.26</t>
  </si>
  <si>
    <t xml:space="preserve">Асуудлын мөрөөр</t>
  </si>
  <si>
    <t xml:space="preserve">Оюутан охиныг массажистаар ажилд аваад 3 хоногийн хугацаанд 10 гаруй хүнтэй бэлгийн харилцаанд оруулж, тэндээс нь гаргахгүй хорьж, зодож гэмтээсэн үйлдэл гарлаа. Энэ нь "биеэ үнэлэлтийг зохион байгуулсан" гэмт хэргийн шинжтэй байна.</t>
  </si>
  <si>
    <t xml:space="preserve">Хүний халдашгүй, чөлөөтэй байх эрх, Хөдөлмөрлөх эрх, Хүний нэр төр, алдар хүндийн эрх, Эрүүдэн шүүх, хүнлэг бус харьцаанаас ангид байх эрх</t>
  </si>
  <si>
    <t xml:space="preserve">tsahiur.news</t>
  </si>
  <si>
    <t xml:space="preserve">https://shorturl.at/RyTTF</t>
  </si>
  <si>
    <t xml:space="preserve">2026.05.27</t>
  </si>
  <si>
    <t xml:space="preserve">202-05-26</t>
  </si>
  <si>
    <t xml:space="preserve">15 настай таван сурагч автомашин жолоодон осолдож, хоёр нь амиа алджээ</t>
  </si>
  <si>
    <t xml:space="preserve">Дархан-Уул аймгийн нутаг дэвсгэрт энэ 26-ны өдөр 15 настай таван сурагч эцэг эхийн зөвшөөрөлгүй тээврийн хэрэгсэл жолоодож осол гаргажээ. Ослын улмаас нэг сурагч газар дээрээ амиа алдсан бол, нэг нь эмнэлэгт хүргэгдсэнийхээ дараа нас барсан байна.</t>
  </si>
  <si>
    <t xml:space="preserve">Дархан-Уул аймаг</t>
  </si>
  <si>
    <t xml:space="preserve">Амьд явах эрх, Хүүхдийн хамгаалуулах эрх, Хүүхдийн дээд ашиг сонирхлын зарчим, </t>
  </si>
  <si>
    <t xml:space="preserve">Одоогийн байдлаар ослын шалтгаан нөхцөлийг тогтоохоор цагдаагийн байгууллагаас мөрдөн шалгах ажиллагаа явуулж байна.</t>
  </si>
  <si>
    <t xml:space="preserve">eguur.mn</t>
  </si>
  <si>
    <t xml:space="preserve">https://eguur.mn/676309/</t>
  </si>
  <si>
    <t xml:space="preserve">2026.05.28</t>
  </si>
  <si>
    <t xml:space="preserve">2026-05-27</t>
  </si>
  <si>
    <t xml:space="preserve">А.Дашням: 30 метрийн гүн нүхэнд унасан гурван настай хүүхдийг аврах ажиллагаа үргэлжилж байна</t>
  </si>
  <si>
    <t xml:space="preserve">Өчигдөр 12:40 цагт Төв аймгийн Заамар сумын Хайлааст гуравдугаар багийн Ар наймган гэх газарт гурван настай эмэгтэй хүүхэд гүний цооногт унасан гэх мэдээлэл Төв аймгийн онцгой байдлын газарт ирсэн. Алба хаагчдыг очиход 30-50 метрийн гүн хуучин өрмийн цооногт гурван настай хүүхэд санамсаргүй байдлаар унасан байсан.
Аврах баг бүрэлдэхүүн могойн нүд камер ашиглаж үзэхэд хөлөөрөө ороод гацсан байдалтай хариу өгөөгүй. Тухайн үед амьсгалж байсан чимээ гарч байсан. Улмаар аврах баг тактикийн түвшинд бугуйлдаж гаргах ажлыг зохион байгуулж үзсэн боловч хөшөөд гарах боломжгүй байсан. Тиймээс дөрвөн метрийн зайтай шатлан ухах ажлыг өчигдрөөс хойш эхлүүлээд байна. </t>
  </si>
  <si>
    <t xml:space="preserve">Төв аймгийн Заамар сумын Хайлааст 3-р багийн Ар наймган гэх газарт</t>
  </si>
  <si>
    <t xml:space="preserve">Амьд явах эрх, Хүүхдийн хамгаалуулах эрх, Хүүхдийн дээд ашиг сонирхлын зарчим, Аюулгүй орчинд амьдрах эрх</t>
  </si>
  <si>
    <t xml:space="preserve">Цооног эзэмшигч/ашиглагч аж ахуйн нэгж,хяналт тавих үүрэгтэй орон нутгийн захиргаа</t>
  </si>
  <si>
    <t xml:space="preserve">Онцгой байдлын газар, цагдаа, уул уурхайн яам, уурхай зэргээс нийт 100 орчим хүн хүч гарч, хүнд зориулалтын 20 гаруй техник хэрэгсэлтэйгээр ажиллаж байна.</t>
  </si>
  <si>
    <t xml:space="preserve">ikon.mn 
П.Сайнжаргал 2026.05.28</t>
  </si>
  <si>
    <t xml:space="preserve">https://ikon.mn/n/3nun</t>
  </si>
  <si>
    <t xml:space="preserve">2026.05.31-06.05</t>
  </si>
  <si>
    <t xml:space="preserve">2026.05.31</t>
  </si>
  <si>
    <t xml:space="preserve">2026-05-24</t>
  </si>
  <si>
    <t xml:space="preserve">Хогийн цэгийн эрэг
нурж 13 настай хүү
шороонд дарагдаж нас
барав</t>
  </si>
  <si>
    <t xml:space="preserve">Дорноговь аймгийн Өргөн суманд хогийн цэг дээр
тоглож байсан 6 дугаар ангийн 13 настай эрэгтэй
хүүхэд эрэг нурсны улмаас шороонд дарагдаж, амь
насаа алдсан ноцтой осол бүртгэгдэж, олон нийтийн
сүлжээгээр иргэдийг бухимдуулав. Орон нутагт
хүүхдийн аюулгүй тоглох орчин байхгүй, хогийн
цэгийн хамгаалалт хангалтгүй байгааг илтгэв.</t>
  </si>
  <si>
    <t xml:space="preserve">Дорноговь аймаг,
Өргөн сум</t>
  </si>
  <si>
    <t xml:space="preserve">Амьд явах эрх,
Хүүхдийн
хамгаалагдах эрх,
Эрүүл, аюулгүй
орчинд амьдрах эрх</t>
  </si>
  <si>
    <t xml:space="preserve">Өргөн сумын Засаг
даргын тамгын
газар, Тохижилт
үйлчилгээний
хэлтэс</t>
  </si>
  <si>
    <t xml:space="preserve">Аймгийн Цагдаагийн газраас хэрэг
бүртгэлт хийж байна. Дорноговь аймгийн хэмжээнд уул уурхайн олборлолтыг түр
зогсоож, нөхөн сэргээлт хийхийг
үүрэгдсэн. Уг нүхийг нэн даруй
булж аюулгүй болгохыг даалгасан.</t>
  </si>
  <si>
    <t xml:space="preserve">isee.mn</t>
  </si>
  <si>
    <t xml:space="preserve">https://isee.mn/n/91447</t>
  </si>
  <si>
    <t xml:space="preserve">2026.06.01</t>
  </si>
  <si>
    <t xml:space="preserve">Олон улсын хүүхдийн эрхийг хамгаалах өдрөөр хүүхдийн эрх зөрчигдсөн асуудлууд</t>
  </si>
  <si>
    <t xml:space="preserve">Баярын талбай болон паркт олон цагаар дараалалд зогсоож хүүхдийг туйлдуулах, төв талбай дээр олон тооны хүүхэд төөрөх, баярын бэлгэнд хугацаа нь дууссан чанаргүй хүнсний бүтээгдэхүүн багтсан тухай иргэд шүүмжлэв.</t>
  </si>
  <si>
    <t xml:space="preserve">Улаанбаатар хот, Сүхбаатарын талбай, Хүүхдийн парк</t>
  </si>
  <si>
    <t xml:space="preserve">Хүүхдийн эрх, Эрүүл аюулгүй орчинд амьдрах, чанартай тусламж үйлчилгээ авах эрх</t>
  </si>
  <si>
    <t xml:space="preserve">Зохион байгуулагч аж ахуйн нэгжүүд, холбогдох төрийн хяналтын байгууллагууд</t>
  </si>
  <si>
    <t xml:space="preserve">Цагдаагийн байгууллагаас төөрсөн хүүхдүүдийг эрэн сурвалжлах, хүнсний чанарт шалгалт оруулахаар ажиллаж байгаагаа мэдэгдсэн.</t>
  </si>
  <si>
    <t xml:space="preserve">Facebook, Threads сүлжээн дэх эцэг эхчүүдийн гомдол, зурагт мэдээллүүд</t>
  </si>
  <si>
    <t xml:space="preserve">2026.06.02</t>
  </si>
  <si>
    <t xml:space="preserve">2026-05-02-ны байдлаар</t>
  </si>
  <si>
    <t xml:space="preserve">Прокурорын байгууллагын мэдээлснээр хүүхдийн эрхтэй холбоотой зөрчил өндөр түвшинд байна.</t>
  </si>
  <si>
    <t xml:space="preserve">“Хүүхдийн эрхийг зөрчих” зөрчил 2026 оны 5 дугаар сарын 20-ны өдрийн байдлаар улсын хэмжээнд нийт 3213 бүртгэгдсэн нь өмнөх оны мөн үеэс 191 буюу 5.6 хувиар буурчээ. “Хүүхдийн бие махбодод халдсан, эсхүл үл хайхарсан, эсхүл хүүхдийн дэргэд архидан согтуурсан, мансуурсан, хүчирхийлэл үйлдсэн” зөрчил 3020 бүртгэгдсэн нь хүүхдийн эрхийг зөрчих нийт зөрчлийн 94 хувийг эзэлж байна.</t>
  </si>
  <si>
    <t xml:space="preserve">Улсын хэмжээнд</t>
  </si>
  <si>
    <t xml:space="preserve">Эрүүл аюулгүй орчинд амьдрах эрх, хүүхдийн эрх</t>
  </si>
  <si>
    <t xml:space="preserve">Хяналт шалгалт үргэлжилж байгаа</t>
  </si>
  <si>
    <t xml:space="preserve">Монгол Улсын Ерөнхий прокурорын газар</t>
  </si>
  <si>
    <t xml:space="preserve">https://prosecutor.mn/post/113353</t>
  </si>
  <si>
    <t xml:space="preserve">2026.06.05</t>
  </si>
  <si>
    <t xml:space="preserve"> </t>
  </si>
  <si>
    <t xml:space="preserve">Хүүхдэд зориулсан "Буузан тоглоом" харшил, амьсгал боогдох эрсдэл үүсгэж байна</t>
  </si>
  <si>
    <t xml:space="preserve">Хүүхдийн эрүүл мэнд, аюулгүй байдалд эрсдэл учруулж болзошгүй бүтээгдэхүүний талаар сэрэмжлүүлэг гаргасан.</t>
  </si>
  <si>
    <t xml:space="preserve">Импортлогч, худалдаалагч байгууллага</t>
  </si>
  <si>
    <t xml:space="preserve">Мэргэжлийн байгууллагууд анхааруулга гаргасан</t>
  </si>
  <si>
    <t xml:space="preserve">ikon.mn
П.Сайнжаргал 2026.06.05</t>
  </si>
  <si>
    <t xml:space="preserve">https://ikon.mn/n/3o0x</t>
  </si>
  <si>
    <t xml:space="preserve">2026.06.08-06.12</t>
  </si>
  <si>
    <t xml:space="preserve">2026.06.10</t>
  </si>
  <si>
    <t xml:space="preserve">Нийслэлийн 21-р сургуулийн 10 дугаар ангийн сурагчид өнгөрсөн шөнө бүлэглэн сурагчдыг зодож, нэгнийх нь хамрыг хугалсан хэрэг гарчээ</t>
  </si>
  <si>
    <t xml:space="preserve">21-р сургуулийн сурагчид өмнө нь мөн үе тэнгийн дээрэлхэлт хийж, Шангри-лад сурагчид зодсон хэрэгт холбогдож, хуулийн шатанд яваа юм. Тэгвэл тус сургуульд дахин энэ төрлийн хэрэг гарлаа.</t>
  </si>
  <si>
    <t xml:space="preserve">БЗД-6 хороо</t>
  </si>
  <si>
    <t xml:space="preserve">Халдашгүй байх эрх,
Хүчирхийлэл, харгис хэрцгий, хүнлэг бус харьцаанаас ангид байх эрх
Хүүхдийн эрх,
Эрүүл мэндээ хамгаалуулах эрх,
Аюулгүй орчинд суралцах эрх, 
Хүний нэр төр, алдар хүндийг хүндэтгүүлэх эрх, Хүүхдийн хөгжих эрх</t>
  </si>
  <si>
    <t xml:space="preserve">tsahiur.mn</t>
  </si>
  <si>
    <t xml:space="preserve">https://www.facebook.com/story.php?story_fbid=1504861694988280&amp;id=100063933908097&amp;mibextid=wwXIfr&amp;rdid=9Kz2ryKqlRG6I9xI#</t>
  </si>
  <si>
    <t xml:space="preserve">Ахынхаа регистрийг ашиглаад хувь хүний нууц задруулсан гэмт хэрэгтэн болов</t>
  </si>
  <si>
    <t xml:space="preserve">Бусдын регистрийн дугаар дахин давтагдашгүй бөгөөд тухайн хүний шууд болон шууд бусаар тодорхойлох мэдээлэлд хамаардаг. Иргэн Б.А-ийн дээрх үйлдлийг Хувь хүний хуулиар хамгаалагдсан нууцыг олж мэдсэн хүн өөрийнх нь зөвшөөрөлгүйгээр задруулсан гэж үзэх үндэслэл болжээ.   </t>
  </si>
  <si>
    <t xml:space="preserve">Төв аймаг</t>
  </si>
  <si>
    <t xml:space="preserve">Хүний хувийн нууц</t>
  </si>
  <si>
    <t xml:space="preserve">Ахынхаа мэдээллийг задрулсан Б.А</t>
  </si>
  <si>
    <t xml:space="preserve">Төв аймаг дахь Сум дундын анхан шатны шүүхээс 4,350,000 төгрөгөөр торгох ялаар шийтгэсэн.</t>
  </si>
  <si>
    <t xml:space="preserve">gogo.mn</t>
  </si>
  <si>
    <t xml:space="preserve">https://gogo.mn/r/e04j6d</t>
  </si>
  <si>
    <t xml:space="preserve">2026.06.12</t>
  </si>
  <si>
    <t xml:space="preserve">Эмийн санч насанд хүрэгчийн тунгаар андуурч эм өгсөнөөс болж нярай хорлогод оржээ</t>
  </si>
  <si>
    <t xml:space="preserve">Эмийн жорд “5 мг” гэж хүүхдийн тунгаар бичсэн байхад 100 мг савлагаатай эм олгож, эмийг нярайд өгсний дараа түүний амь насанд аюултай тархины цусан хангамжийн алдагдлын хүнд хэлбэр, эрүүл тархины цусан хангамжийн алдагдлын хүнд хэлбэр, тархины эмгэгшил үүсэж эрүүл мэндэд нь хүнд хохирол учирсан гэж үзсэн байна.</t>
  </si>
  <si>
    <t xml:space="preserve">Эрүүл мэндээ хамгаалуулах, эмнэлгийн чанартай тусламж авах эрх, Аюулгүй байх, гэм хор учруулахгүй байх эрх, </t>
  </si>
  <si>
    <t xml:space="preserve">Эмийн санч “Ё”</t>
  </si>
  <si>
    <t xml:space="preserve">Эмийн санч Ё нь ...ХХК-тай байгуулсан хөдөлмөрийн гэрээгээр ажиллаж байхдаа бусдад гэм хор учруулсан байх тул тус компанийг иргэний хариуцагчаар татан оролцуулжээ. Хохирогчоос нэхэмжилсэн мөнгийг төлсөн байх тул иргэний хариуцагчаас гаргуулах гэм хорын төлбөргүй гэж шүүх дүгнэсэн байна.</t>
  </si>
  <si>
    <t xml:space="preserve">https://isee.mn/n/91946</t>
  </si>
  <si>
    <t xml:space="preserve">2026.06.11</t>
  </si>
  <si>
    <t xml:space="preserve">2024 он</t>
  </si>
  <si>
    <t xml:space="preserve">Есөн настай хүүг хойд эх нь амбаарт түгжин шатаажээ</t>
  </si>
  <si>
    <t xml:space="preserve">2024 оны арванхоёрдугаар сард гарсан энэ харамсалтай хэргийн улмаас 9 настай хүү 80 хувийн хөдөлмөрийн чадвараа алдаж, хүний байнгын асаргаанд орсон байна.
Түүнийг аавынхаа гэрт байхад амбаараас “гутал хайх” нэрийдлээр оруулсны дараа хойд эх нь гал тавьсан бөгөөд өнөөдрийг хүртэл хэн ч хариуцлага хүлээгээгүй байна.
Хүүгийн хамгийн их гомддог хүн аав н</t>
  </si>
  <si>
    <t xml:space="preserve">Амьд явах, амьд явахаа хамгаалуулах эрх, Хүчирхийлэл, харгислал, эрүүдэн шүүхээс ангид байх эрх, </t>
  </si>
  <si>
    <t xml:space="preserve">zarig.mn</t>
  </si>
  <si>
    <t xml:space="preserve">https://zarig.mn/1ijn</t>
  </si>
  <si>
    <t xml:space="preserve">2026.06.15-06.22</t>
  </si>
  <si>
    <t xml:space="preserve">2026.06.15</t>
  </si>
  <si>
    <t xml:space="preserve">15 настай хүүхэд барилгын ажил хийж яваад амь насаа алдсан.
Тэгвэл Эрдэнэтэд хамгаалах хэрэгсэлгүй, насанд хүрээгүй байж магадгүй хүүхэд дээврийн ажил хийгээд хийж байна гэдэг мэдээлэл ирлээ.</t>
  </si>
  <si>
    <t xml:space="preserve">15 настай хүүхэд барилгын ажил хийж яваад амь насаа алдсан.
Тэгвэл Эрдэнэтэд хамгаалах хэрэгсэлгүй, насанд хүрээгүй байж магадгүй хүүхэд дээврийн ажил хийгээд хийж байна гэдэг мэдээлэл ирлээ. Ажил олгогчид хямдыг нь бодож хүүхэд ажиллуулдаг. Журмаар барилга уул уурхай, баяжуулах үйлдвэрт хүүхэд ажиллуулах хориотой. Та бүхэн энэ мэт эрсдэлтэй нөхцлийн талаарх мэдээллээ өгч байгаарай. Бид шуурхай арга хэмжээ авна. Өгсөн дуудлага мэдээллийн дагуу цагдаагийн алба хаагчид газар дээр нь очиход Орхон аймаг Баян-Өндөр сумын Согоот баг 6-13 дугаар байрны дээврийн засвар хийхдээ ХАБ-ын журам зөрчиж хамгаалах хэрэгсэлгүй, 18 насанд хүрээгүй хүн ажиллуулж байсан нь тогтоогджээ.
</t>
  </si>
  <si>
    <t xml:space="preserve">Орхон аймаг Баян-Өндөр сумын Согоот баг 6-13 дугаар байрны дээвэр</t>
  </si>
  <si>
    <t xml:space="preserve">Амьд явах эрх, Аюулгүй, эрүүл орчинд ажиллах эрх, Хүүхдийг эдийн засгийн мөлжлөгөөс хамгаалуулах эрх, Эрүүл мэндээ хамгаалуулах эрх</t>
  </si>
  <si>
    <t xml:space="preserve">Барилгын компани, ХАБ-ын ажилтан</t>
  </si>
  <si>
    <t xml:space="preserve">
Засварын ажлыг зогсоож арга хэмжээ авахуулахаар эрх бүхий байгууллагад шилжүүлсэн байна.</t>
  </si>
  <si>
    <t xml:space="preserve">twitter
Хуульч О.Батхүү</t>
  </si>
  <si>
    <t xml:space="preserve">https://x.com/batkhuu_lw/status/2066440433182646473?s=46</t>
  </si>
  <si>
    <t xml:space="preserve">ХЭҮК энэ хүний эрхийн зөрчил мөн үү? мөн бол танайх ийм үйлдэлтэй хүмүүст ямар хари уцлага тооцдог вэ?</t>
  </si>
  <si>
    <t xml:space="preserve">Н.Тэгшбаяр: Үр хүүхэд нь уул уурхайд ажиллдаг хүмүүс уул уурхайн төслүүдийг эсэргүүцээд яваад байгаа тохиолдолд хүүхдийг нь ажлаас чөлөөлөхийг уриалж байна. 
Энэ хүний хүүхэд ОТ- д ажилладаг. Тэгсэн хирнээ эцэн эх нь уул уурхайн төсөл эсэргүүцдэг. Ийм байж болох юм уу?
Тэгээд хүүхдээ өөрөө тэжээх хэрэгтэй.</t>
  </si>
  <si>
    <t xml:space="preserve">Хөдөлмөрлөх, үзэл бодлоо чөлөөтэй илэрхийлэх</t>
  </si>
  <si>
    <t xml:space="preserve">Физикийн ухааны доктор, Арбитрч Н.Тэгшбаяр</t>
  </si>
  <si>
    <t xml:space="preserve">twiiter</t>
  </si>
  <si>
    <t xml:space="preserve">https://x.com/batzorig2012/status/2066430318337515965</t>
  </si>
  <si>
    <t xml:space="preserve">2026.06.18</t>
  </si>
  <si>
    <t xml:space="preserve">Б.Октябрь:Ийм зүйл ярих нь ёстой нөгөө Үндэсний аюулгүй байдал шүү  дээ. </t>
  </si>
  <si>
    <t xml:space="preserve">Нотолгоо баталгаагүй яс үндэс нийгмийн гарал үүслээр нь ялгаварлан, хооронд нь хагарлдуулсан мэдээ мэдээлэл тараах нь УИХ гишүүн хүний хувьд маш буруу шүү. Гэмт хэрэг болно.</t>
  </si>
  <si>
    <t xml:space="preserve">Яс үндсээр нь ялгаврлах гадуурхагдахгүй байх</t>
  </si>
  <si>
    <t xml:space="preserve">Зарим иргэд, төрийн өндөр албан тушаалтнууд, ялангуяа УИХ-ын гишүүн М.Нарантуяа</t>
  </si>
  <si>
    <t xml:space="preserve">Fb twitter</t>
  </si>
  <si>
    <t xml:space="preserve">#VALUE!</t>
  </si>
  <si>
    <t xml:space="preserve">2026.06.19</t>
  </si>
  <si>
    <t xml:space="preserve">Хувийн сургуульд суралцаж буй хүүхдийг ялгаварлан гадуурхах, сүрдүүлэх нь хууль бус үйлдэл мөн</t>
  </si>
  <si>
    <t xml:space="preserve">Боловсрол бол хүүхдийн суурь эрх бөгөөд хувийн сургуулийн төлбөр төлж буй явдал нь багш нарт хүүхдийг ялгаварлах, эрхшээлдээ оруулах эрх олгодоггүй гэдгийг хатуу анхаарах шаардлагатай. Хүүхдийнхээ сурч боловсрох эрхийг тууштай хамгаалцгаая!</t>
  </si>
  <si>
    <t xml:space="preserve">Хүүхэд сургуулийн орчинд аливаа ялгаварлан гадуурхалт, сэтгэл санааны дарамт, хүчирхийллээс ангид байх</t>
  </si>
  <si>
    <t xml:space="preserve">Зарим хувийн сургууль</t>
  </si>
  <si>
    <t xml:space="preserve">FB</t>
  </si>
  <si>
    <t xml:space="preserve">https://www.facebook.com/share/p/1BcANJWDA7/</t>
  </si>
  <si>
    <t xml:space="preserve">2026.06.21</t>
  </si>
  <si>
    <t xml:space="preserve">Ажлын байрны дарамт газар авсны бодит илрэл</t>
  </si>
  <si>
    <t xml:space="preserve">Төрийн байгууллага болон хууль хүчний байгууллагуудын зарим албан хаагчид #ажлын_ачааллаасаа_бус дарга, удирдлагынхаа дарамт, ёс зүйгүй харилцаа хандлагаас халширч, ажилдаа биш даргынхаа ааш аяганд санаа зовинон ажилладаг болсон гэх мэдээлэл, гомдол тасрахгүй байна.</t>
  </si>
  <si>
    <t xml:space="preserve">Төрийн байгууллага</t>
  </si>
  <si>
    <t xml:space="preserve">Хөдөлмөрдөх, үзэл бодлоо чөлөөтэй илэрхийлэх ялгаварлан гадуурхалтаас ангид байх</t>
  </si>
  <si>
    <t xml:space="preserve">Төрийн байгууллагын удирдлага, ТАЗ</t>
  </si>
  <si>
    <t xml:space="preserve">Өмгөөлөгч Р.Булгамаа</t>
  </si>
  <si>
    <t xml:space="preserve">https://www.facebook.com/share/p/1Es4qy6nzM/</t>
  </si>
  <si>
    <t xml:space="preserve">2026.06.29-07.03</t>
  </si>
  <si>
    <t xml:space="preserve">2026.07.01</t>
  </si>
  <si>
    <t xml:space="preserve">2026.06.09</t>
  </si>
  <si>
    <t xml:space="preserve">2026.06.09-нд болсон Марш тактикийн тэмцээний үеэр цэргүүд барьцаалагдсан иргэнийг аврах үзүүлэх тоглолт хийсэн. Энэ үеэр газар хэвтэж байсан хугацаат цэргийн 2 алба хаагчийг авто машинаар дайран гарчээ.</t>
  </si>
  <si>
    <t xml:space="preserve">Тэмцээний үеэр газар хэвтэж байсан хоёр алба хаагчийн дээгүүр тоглолтод ашиглаж байсан "Toyota Harrier" маркийн автомашин гарч дайрсан.  Цэргүүдийн биеийн байдал хүнд, ялангуяа нэг байлдагч элэгний бяцралтын улмаас хагалгаанд орж, нөгөө цэрэг нь яаралтай тусламжийн тасагт эмчлүүлж байгаа талаар эх сурвалжууд мэдээлсэн.</t>
  </si>
  <si>
    <t xml:space="preserve">Төв аймгийн Алтанбулаг сумын Тавантолгой дахь Зэвсэгт хүчний 311 дүгээр ангийн Сургалтын нэгдсэн төв</t>
  </si>
  <si>
    <t xml:space="preserve">Амьд явах,  Халдашгүй, чөлөөтэй байх, бие махбодын халдашгүй байдал, Эрүүл мэндээ хамгаалуулах, өдөлмөрлөх аюулгүй нөхцөлөөр хангуулах, Хугацаат цэргийн алба хаагчийн онцгой хамгаалалтын зарчим</t>
  </si>
  <si>
    <t xml:space="preserve">Зэвсэгт хүчний 311 дүгээр анги</t>
  </si>
  <si>
    <t xml:space="preserve">Төв аймгийн Цагдаагийн газраас мөрдөн шалгах ажиллагааг тал бүрээс нь явуулж, нотлох баримтыг цуглуулж байна</t>
  </si>
  <si>
    <t xml:space="preserve">https://shorturl.at/ha7bg</t>
  </si>
  <si>
    <t xml:space="preserve">2026.06.29</t>
  </si>
  <si>
    <t xml:space="preserve">2026.06.28</t>
  </si>
  <si>
    <t xml:space="preserve">Хамт архидан согтуурсан үедээ нэгнийхээ толгойн тус газар нь заазуурджээ</t>
  </si>
  <si>
    <t xml:space="preserve">Цагдаагийн байгууллагад "Биеийн олон хэсэгт хутгалуулсан хүн сууж байна, яаралтай тусламж явуулаарай" гэх дуудлага, мэдээлэл 2026.06.28-ны өдөр бүртгэгдсэн. Баянзүрх дүүрэгт оршин суух "Б" нь хамт архидан согтуурсан үедээ хоорондын таарамжгүй харилцаанаас үүдэн нэгнийхээ толгойн тус газарт нэг удаа заазуурдаж, гэмтэл учруулсан гэх мэдээллийг ЦЕГ-аас олон нийтэд танилцуулав.</t>
  </si>
  <si>
    <t xml:space="preserve">Улаанбаатар хот, Баянзүрх дүүрэг</t>
  </si>
  <si>
    <t xml:space="preserve">Амьд явах эрх, эрүүл, аюулгүй орчинд амьдрах эрх, халдашгүй, чөлөөтэй байх эрх</t>
  </si>
  <si>
    <t xml:space="preserve">Иргэн "Б"</t>
  </si>
  <si>
    <t xml:space="preserve">Баянзүрх дүүргийн цагдаагийн газрын Хоёрдугаар хэлтэс мөрдөн шалгах ажиллагаа явуулж байна</t>
  </si>
  <si>
    <t xml:space="preserve">Цагдаагийн ерөнхий газар</t>
  </si>
  <si>
    <t xml:space="preserve">https://police.gov.mn/a/8140</t>
  </si>
  <si>
    <t xml:space="preserve">2026.06.30</t>
  </si>
  <si>
    <t xml:space="preserve">УИХ: "Малчны тухай хуулийн хэрэгжилтийг дүгнэх" ерөнхий хяналтын сонсгол болов</t>
  </si>
  <si>
    <t xml:space="preserve">УИХ-ын түвшинд "Малчны тухай хуулийн хэрэгжилтийг дүгнэх, хууль тогтоомжийг хэрэгжүүлэх чиг үүрэг бүхий байгууллага, түүний удирдах албан тушаалтны үйл ажиллагаанд хяналт тавих, үнэлэх" сэдэвт ерөнхий хяналтын сонсголыг 2026.06.30-ны өдөр зохион байгуулав. Малчдын хөдөлмөр эрхлэлт, нийгмийн хамгааллын эрхийн хэрэгжилттэй шууд холбоотой хяналтын арга хэмжээ юм.</t>
  </si>
  <si>
    <t xml:space="preserve">Улаанбаатар хот, Төрийн ордон</t>
  </si>
  <si>
    <t xml:space="preserve">Хөдөлмөрлөх эрх, нийгмийн хамгааллын эрх (малчид)</t>
  </si>
  <si>
    <t xml:space="preserve">Хуулийн хэрэгжилтийг хангах чиг үүрэг бүхий төрийн байгууллага, албан тушаалтнууд</t>
  </si>
  <si>
    <t xml:space="preserve">УИХ ерөнхий хяналтын сонсгол зохион байгуулж, хэрэгжилтийг дүгнэж байна</t>
  </si>
  <si>
    <t xml:space="preserve">МҮОНРТ</t>
  </si>
  <si>
    <t xml:space="preserve">https://www.mnb.mn/i/348483</t>
  </si>
  <si>
    <t xml:space="preserve">ХӨСҮТ: Улаанбурхан өвчний батлагдсан тохиолдол 11-ээр нэмэгдэж, улсын хэмжээнд 15,505-д хүрэв</t>
  </si>
  <si>
    <t xml:space="preserve">ХӨСҮТ-ийн мэдээллээр 2026.06.30-ны байдлаар улаанбурхан өвчний батлагдсан тохиолдол 11-ээр нэмэгдэж, улсын хэмжээнд нийт 15,505 (нийслэлд 12,379, орон нутагт 3,124) болж, нас баралт 22 бүртгэгдээд байна. Эмнэлэгт 30 хүн хэвтэн эмчлүүлж байгаа бөгөөд өвчлөл 10-14 насны хүүхдүүдийн дунд хамгийн өндөр (5,499) байна.</t>
  </si>
  <si>
    <t xml:space="preserve">Эрүүл мэндээ хамгаалуулах эрх, хүүхдийн эрх</t>
  </si>
  <si>
    <t xml:space="preserve">Халдварт өвчний дэгдэлт /дархлаажуулалтын хамралт хангалтгүй байдал/</t>
  </si>
  <si>
    <t xml:space="preserve">ХӨСҮТ өдөр бүр нөхцөл байдлыг мэдээлж, иргэдийг улаанбурханы эсрэг вакцинд хамрагдахыг уриалж байна</t>
  </si>
  <si>
    <t xml:space="preserve">МҮОНРТ, ХӨСҮТ</t>
  </si>
  <si>
    <t xml:space="preserve">https://www.mnb.mn/i/348493</t>
  </si>
  <si>
    <t xml:space="preserve">Гэр бүлийн тухай хуулийн шинэчилсэн найруулгыг УИХ-д өргөн барихаар боллоо</t>
  </si>
  <si>
    <t xml:space="preserve">Засгийн газрын хуралдаанаар Гэр бүлийн тухай хуулийн шинэчилсэн найруулгын төслийг хэлэлцэж, УИХ-д өргөн барихаар шийдвэрлэв. 1999 онд батлагдсан одоогийн хууль гэрлэх, гэрлэлт цуцлах, хүүхдийн эрхийг хамгаалах, хууль ёсны ашиг сонирхлыг сэргээх харилцааг нарийвчлан зохицуулж чадахгүй байгаа тул гэр бүлийн гишүүд, хүүхдийн эрх ашгийг хамгаалах эрх зүйн шинэ орчин бүрдүүлэхийг зорьжээ.</t>
  </si>
  <si>
    <t xml:space="preserve">Улаанбаатар хот, Засгийн газрын хуралдаан</t>
  </si>
  <si>
    <t xml:space="preserve">Гэр бүлийн гишүүдийн эрх, хүүхдийн эрх, шударга шүүхээр хамгаалуулах эрх</t>
  </si>
  <si>
    <t xml:space="preserve">Засгийн газар хуулийн төслийг хэлэлцэн, УИХ-д өргөн мэдүүлэхээр шийдвэрлэв</t>
  </si>
  <si>
    <t xml:space="preserve">inews.mn</t>
  </si>
  <si>
    <t xml:space="preserve">https://www.inews.mn/a/46748</t>
  </si>
  <si>
    <t xml:space="preserve">2026.07.02</t>
  </si>
  <si>
    <t xml:space="preserve">ХӨСҮТ: Улаанбурхан өвчний батлагдсан тохиолдол 15,512 болж, нас баралт 22 хэвээр байна</t>
  </si>
  <si>
    <t xml:space="preserve">ХӨСҮТ-ийн мэдээллээр 2026.07.02-ны байдлаар улаанбурхан өвчний батлагдсан тохиолдол 4-өөр нэмэгдэж, улсын хэмжээнд нийт 15,512 (нийслэлд 12,382, орон нутагт 3,128) болов. Эмнэлэгт 24 хүн хэвтэн эмчлүүлж байгаа бөгөөд өвчлөл 10-14 насны хүүхдүүдийн дунд хамгийн өндөр хэвээр байна. Дэгдэлт үргэлжилж буй нь хүүхдийн эрүүл мэндээ хамгаалуулах эрхэд сөргөөр нөлөөлсөөр байна.</t>
  </si>
  <si>
    <t xml:space="preserve">ХӨСҮТ нөхцөл байдлыг өдөр бүр мэдээлж, вакцинд хамрагдсан мэдээллээ цахим бүртгэлд бүртгүүлэхийг уриалж байна</t>
  </si>
  <si>
    <t xml:space="preserve">https://www.mnb.mn/i/348632</t>
  </si>
  <si>
    <t xml:space="preserve">2026.06.29-07.02</t>
  </si>
  <si>
    <t xml:space="preserve">Цагдаагийн 102 тусгай дугаарт өдөрт дунджаар 2200 орчим дуудлага, мэдээлэл бүртгэгдэж байна</t>
  </si>
  <si>
    <t xml:space="preserve">ЦЕГ-ын өдөр тутмын мэдээгээр 2026.06.29-нд 2164, 06.30-нд 2203, 07.01-нд 2253, 07.02-нд 2212 дуудлага, мэдээлэл 102 тусгай дугаарт бүртгэгдэв. Тухайлбал, 06.30-ны өдрийн дуудлагаас 679 нь зөрчлийн шинжтэй байв. Гэмт хэргийн шинжтэй үйлдлүүдийг шуурхай илрүүлж, урьд өмнө бүртгэгдсэн хэргүүдийг нөхөн илрүүлсэн байна.</t>
  </si>
  <si>
    <t xml:space="preserve">Амар тайван, аюулгүй орчинд амьдрах эрх, халдашгүй чөлөөтэй байх эрх</t>
  </si>
  <si>
    <t xml:space="preserve">Гэмт хэрэг, зөрчил үйлдсэн этгээдүүд</t>
  </si>
  <si>
    <t xml:space="preserve">Цагдаагийн байгууллага дуудлага тус бүрд шуурхай ажиллаж, гэмт хэрэг, зөрчлийг шалган шийдвэрлэж байна</t>
  </si>
  <si>
    <t xml:space="preserve">ЦЕГ, МҮОНРТ</t>
  </si>
  <si>
    <t xml:space="preserve">https://www.mnb.mn/i/348568</t>
  </si>
  <si>
    <t xml:space="preserve">Хурдан морины уралдаанч хүүхдийн аюулгүй байдлыг хангах чиглэлээр ажиллаж байна</t>
  </si>
  <si>
    <t xml:space="preserve">Наадам дөхөж буйтай холбогдуулан уралдаанч хүүхдийг зориулалтын хамгаалалтын хувцас, хэрэглэлгүй уралдуулах, зориулалтын бус гутал өмсгөх, гутлыг скочоор бэхэлж уралдаанд гаргах зэрэг хүүхдийн эрх, аюулгүй байдлын зөрчил цөөнгүй бүртгэгддэг болохыг ХГБХХЕГ мэдээлэв. Уралдааны зам, талбайд эрсдэлийн үнэлгээ хийж, зөвлөмжийг Наадмыг зохион байгуулах хороо, Хурдан морины салбар комисст хүргүүлж, MNS 6264:2026 стандартыг сурталчилж байна.</t>
  </si>
  <si>
    <t xml:space="preserve">Улсын хэмжээнд /наадмын хурдан морины уралдаан/</t>
  </si>
  <si>
    <t xml:space="preserve">Хүүхдийн эрх, амьд явах эрх, эрүүл, аюулгүй орчинд байх эрх, хүүхдийг тэвчишгүй хөдөлмөрөөс хамгаалах</t>
  </si>
  <si>
    <t xml:space="preserve">Уяач, морь эзэмшигчид, уралдаан зохион байгуулагчид, эцэг эх, асран хамгаалагчид</t>
  </si>
  <si>
    <t xml:space="preserve">ХГБХХЕГ эрсдэлийн үнэлгээ хийж, зөвлөмж хүргүүлэн, стандартын хэрэгжилтэд хяналт тавин ажиллаж байна</t>
  </si>
  <si>
    <t xml:space="preserve">ХГБХХЕГ, МҮОНРТ</t>
  </si>
  <si>
    <t xml:space="preserve">https://www.mnb.mn/i/348642</t>
  </si>
  <si>
    <t xml:space="preserve">Нийгмийн даатгалын ерөнхий хуульд нэмэлт, өөрчлөлт оруулах тухай хууль батлагдлаа</t>
  </si>
  <si>
    <t xml:space="preserve">УИХ-ын чуулганы нэгдсэн хуралдаанаар Нийгмийн даатгалын ерөнхий хуульд нэмэлт, өөрчлөлт оруулах тухай хуулийг 2026.07.01-ний өдөр баталлаа. Иргэдийн нийгмийн даатгал, тэтгэвэр, тэтгэмжийн эрхийн хэрэгжилттэй шууд холбоотой хууль тогтоомжийн өөрчлөлт юм.</t>
  </si>
  <si>
    <t xml:space="preserve">Нийгмийн хамгааллын эрх, тэтгэвэр, тэтгэмж авах эрх</t>
  </si>
  <si>
    <t xml:space="preserve">УИХ хуулийг баталж, эрх зүйн орчныг шинэчлэв</t>
  </si>
  <si>
    <t xml:space="preserve">https://www.mnb.mn/i/348608</t>
  </si>
  <si>
    <t xml:space="preserve">Малын эмийг хууль бусаар худалдаалсан 189 сая төгрөгийн үнэ бүхий зөрчил илрүүлэв</t>
  </si>
  <si>
    <t xml:space="preserve">Хууль бусаар худалдаалсан 189 сая төгрөгийн үнэ бүхий малын эмийг эрх бүхий байгууллагаас илрүүлж, холбогдох арга хэмжээг авч байгааг мэдээлэв. Хяналтгүй, хууль бус эмийн эргэлт нь малын гаралтай хүнсний аюулгүй байдал, улмаар хүн амын эрүүл мэндэд эрсдэл учруулдаг.</t>
  </si>
  <si>
    <t xml:space="preserve">Эрүүл мэндээ хамгаалуулах эрх, эрүүл, аюулгүй орчинд амьдрах эрх, хэрэглэгчийн эрх</t>
  </si>
  <si>
    <t xml:space="preserve">Малын эмийг хууль бусаар худалдаалсан этгээдүүд</t>
  </si>
  <si>
    <t xml:space="preserve">Эрх бүхий байгууллага зөрчлийг илрүүлж, шалган шийдвэрлэх ажиллагаа явуулж байна</t>
  </si>
  <si>
    <t xml:space="preserve">https://www.mnb.mn/i/348615</t>
  </si>
  <si>
    <t xml:space="preserve">Улс төрийн хилс хэрэгт хэлмэгдэгчдийг цагаатгах асуудлаар арга хэмжээ авч байна</t>
  </si>
  <si>
    <t xml:space="preserve">Улс төрийн хилс хэрэгт хэлмэгдэгчдийг цагаатгах, тэдэнд нөхөн олговор олгох чиглэлээр төрөөс авч хэрэгжүүлж буй арга хэмжээний талаар 2026.07.02-ны өдөр мэдээлэв. Хэлмэгдэгчдийн болон тэдний ар гэрийн цагаатгуулах, нөхөн сэргээлт хийлгэх эрхийн хэрэгжилттэй холбоотой асуудал юм.</t>
  </si>
  <si>
    <t xml:space="preserve">Шударга шүүхээр шүүлгэх эрх, цагаатгуулах, нөхөн олговор авах эрх</t>
  </si>
  <si>
    <t xml:space="preserve">Төрөөс цагаатгал, нөхөн олговрын чиглэлээр арга хэмжээ хэрэгжүүлж байна</t>
  </si>
  <si>
    <t xml:space="preserve">https://www.mnb.mn/i/348648</t>
  </si>
  <si>
    <t xml:space="preserve">2026.07.06-07.09</t>
  </si>
  <si>
    <t xml:space="preserve">2026.07.06</t>
  </si>
  <si>
    <t xml:space="preserve">Одоогоос жил гаруй өмнө (2025 оны эхээр эсвэл 2024 оны сүүлээр) болсон.
</t>
  </si>
  <si>
    <t xml:space="preserve">Үе тэнгийн дээрэлхэлтээс болж тархины хавдартай болсон хүү өвчиндөө шаналж байна</t>
  </si>
  <si>
    <t xml:space="preserve">М.Амарсайхан гэртээ харихаар явж байхад 10 гаруй хүүхэд бүлэглэн зодсон. 
Зодуулсны улмаас хүнд гэмтэл авч, тархины боргоцой булчирхайн гүний хавдартай болсон гэж эмч нар тайлбарласан.
</t>
  </si>
  <si>
    <t xml:space="preserve">амьд явах, бие махбодын бүрэн бүтэн байдлыг хамгаалах, сурч боловсрох, аюулгүй орчинд амьдрах, хүчирхийллээс хамгаалуулах, буруута этгээдүүд хариуцлага хүлээгээгүй нь шударга шүүх, хууль ёсны хамгаалалт авах эрхийг зөрчсөн</t>
  </si>
  <si>
    <t xml:space="preserve">https://x.com/mn_zarig/status/2073979269739639111?s=12</t>
  </si>
  <si>
    <t xml:space="preserve">2026.07.08</t>
  </si>
  <si>
    <t xml:space="preserve">Ч.Ууганбаяр: Хоол ундаа газар хийх нь бага насны хүүхэд түлэгдэх шалтгаан болж байна</t>
  </si>
  <si>
    <t xml:space="preserve">Эмнэлгийн байгууллагын мэдээллээр бага насны хүүхдүүд гэрийн орчинд халуун хоол, ундааг шалан дээр тавьснаас болж түлэгдэх тохиолдол олон гарч байна. </t>
  </si>
  <si>
    <t xml:space="preserve">Улсын хэмжээнд (ахуйн орчин)</t>
  </si>
  <si>
    <t xml:space="preserve">Хүүхдийн эрүүл мэндээ хамгаалуулах, аюулгүй орчинд амьдрах</t>
  </si>
  <si>
    <t xml:space="preserve">Эцэг эх, асран хамгаалагчийн хяналт, ахуйн аюулгүй байдлын дутагдал</t>
  </si>
  <si>
    <t xml:space="preserve">Эрүүл мэндийн байгууллагаас мэдээлэл, зөвлөмж хүргэсэн</t>
  </si>
  <si>
    <t xml:space="preserve">ikon.mn</t>
  </si>
  <si>
    <t xml:space="preserve">https://ikon.mn/n/3ouo</t>
  </si>
  <si>
    <t xml:space="preserve">2026.07.10-07.24</t>
  </si>
  <si>
    <t xml:space="preserve">2026.07.16</t>
  </si>
  <si>
    <t xml:space="preserve">2026.07.10-07.14</t>
  </si>
  <si>
    <t xml:space="preserve">Наадмын өдрүүдэд зөрчлийн шинжтэй 3,227, гэмт хэргийн шинжтэй 488 дуудлага, мэдээлэл бүртгэгджээ</t>
  </si>
  <si>
    <t xml:space="preserve">Цагдаагийн байгууллагын 102 тусгай дугаарт Үндэсний их баяр наадмын өдрүүдэд нийт 9,446 дуудлага, мэдээлэл бүртгэгдсэн. Үүнээс зөрчлийн шинжтэй 3,227, гэмт хэргийн шинжтэй 488, залилах гэмт хэргийн 67, хүүхэд гэр бүлийн хүчирхийллийн 351, хулгайлах 79 дуудлага байна. Мөн согтуугаар тээврийн хэрэгсэл жолоодсон 317 тохиолдол гарч, 414 хүнийг эрүүлжүүлсэн.</t>
  </si>
  <si>
    <t xml:space="preserve">Хүчирхийлэл, хэрцгий харьцаанаас ангид байх эрх, амьд явах эрх, эд хөрөнгийн эрх, хүүхдийн хамгаалуулах эрх</t>
  </si>
  <si>
    <t xml:space="preserve">Хувь хүн /гэр бүлийн гишүүн, бусад иргэн/</t>
  </si>
  <si>
    <t xml:space="preserve">Цагдаагийн байгууллага дуудлага хүлээн авч шалгасан</t>
  </si>
  <si>
    <t xml:space="preserve">https://ikon.mn/n/3p09</t>
  </si>
  <si>
    <t xml:space="preserve">2026.07.20</t>
  </si>
  <si>
    <t xml:space="preserve">2026.01.01-07.20</t>
  </si>
  <si>
    <t xml:space="preserve">Усны ослын 30 орчим хувь нь эцэг эхийн хараа хяналт, архидан согтуурснаас үүдэлтэй</t>
  </si>
  <si>
    <t xml:space="preserve">2026 он гарсаар долоодугаар сарын 20-ны байдлаар усны ослын 84 тохиолдол бүртгэгдэж, 50 хүн (31 том хүн, 19 хүүхэд) амь насаа алдсан. Өмнөх оны мөн үетэй харьцуулахад нас барсан хүний тоо 12 хувиар өссөн. Усны осол ихээр гардаг 399 хар цэг тэмдэглэсэн бөгөөд урьдчилан сэргийлэх хөдөлгөөнт эргүүлийг зургаадугаар сарын 15-наас эхлүүлсэн.</t>
  </si>
  <si>
    <t xml:space="preserve">Улсын хэмжээнд /Нийслэл, Сэлэнгэ, Хөвсгөл, Увс, Дорнод, Баян-Өлгий/</t>
  </si>
  <si>
    <t xml:space="preserve">Амьд явах эрх, хүүхдийн хамгаалуулах эрх, аюулгүй орчинд амьдрах эрх</t>
  </si>
  <si>
    <t xml:space="preserve">Эцэг эх, асран хамгаалагч; орон нутгийн засаг захиргаа</t>
  </si>
  <si>
    <t xml:space="preserve">ОБЕГ-аас хар цэг тэмдэглэж, хөдөлгөөнт эргүүл ажиллуулсан</t>
  </si>
  <si>
    <t xml:space="preserve">arslan.mn</t>
  </si>
  <si>
    <t xml:space="preserve">https://www.arslan.mn/social/news/669929.shtml</t>
  </si>
  <si>
    <t xml:space="preserve">2026.07.24</t>
  </si>
  <si>
    <t xml:space="preserve">Хүүхдүүд тоглох эрхээ булгаалгасан уу?</t>
  </si>
  <si>
    <t xml:space="preserve">Нарны хорооллын 141-р сургуулийн хөлбөмбөгийн талбайг хашаалчихаж ээ. Өргөтгөл барина гэнэ. Хүүхдүүдээсээ талбай булаадаг иргэдтэй улс Монголоос өөр байдаг болов уу?</t>
  </si>
  <si>
    <t xml:space="preserve">Баянгол дүүрэг</t>
  </si>
  <si>
    <t xml:space="preserve">
Хүүхдийн эрүүл, аюулгүй орчинд амьдрах эрх
Хүүхдийн амрах, чөлөөт цагаа зөв боловсон өнгөрүүлэх эрх
Хүүхдийн тоглох, бие бялдраа хөгжүүлэх эрх
Хүүхдийн боловсрол эзэмших эрх
Хүүхдийн ашиг сонирхлоо хамгаалуулах эрх
Нийтийн эзэмшлийн орон зайг ашиглах эрх</t>
  </si>
  <si>
    <t xml:space="preserve">ubn.mn</t>
  </si>
  <si>
    <t xml:space="preserve">https://www.facebook.com/reel/1561941138820371</t>
  </si>
  <si>
    <t xml:space="preserve">2026.07.27-07.31</t>
  </si>
  <si>
    <t xml:space="preserve">2026.07.29</t>
  </si>
  <si>
    <t xml:space="preserve">2026.07.28-07.30</t>
  </si>
  <si>
    <t xml:space="preserve">Үерийн аюулаас сэрэмжлүүлж байна. </t>
  </si>
  <si>
    <t xml:space="preserve">2026.07.29-ний байдлаар Тэрэлж, Туул /Лүн/, Сөгнөгөр, Байдраг /Бууцагаан сумын Баянбүрд баг/, Хөгшин Орхон, Хархираа /Тариалан сум/ голууд үерийн түвшинг 5-50 см давж хүчтэй үерлэсэн. Долдугаар сарын 30-нд Туул гол Улаанбаатар хот орчимд усны түвшин 65 см нэмэгдэж, үерийн түвшинг даван үерлэх төлөвтэй байгааг мэдээлж, гол мөрний сав дагуу амарч байгаа иргэдийг сэрэмжлүүлсэн. Мөн Туул голын салаанд хоёр автомашинтай иргэд боогдож, аврагдсан. </t>
  </si>
  <si>
    <t xml:space="preserve">Улсын хэмжээнд /Улаанбаатар, Төв, Өвөрхангай, Баянхонгор, Увс аймаг/</t>
  </si>
  <si>
    <t xml:space="preserve">Амьд явах эрх, эрүүл, аюулгүй орчинд амьдрах эрх, өмч хөрөнгөө эзэмших, хамгаалуулах эрх</t>
  </si>
  <si>
    <t xml:space="preserve">Байгалийн гамшигт үзэгдэл; гамшгаас урьдчилан сэргийлэх, хамгаалах чиг үүрэг бүхий байгууллага, орон нутгийн засаг захиргаа</t>
  </si>
  <si>
    <t xml:space="preserve">ОБЕГ, аймаг, нийслэлийн Онцгой байдлын газраас сэрэмжлүүлэг хүргэж, хөдөлгөөнт болон завьт эргүүл ажиллуулсан. Нийслэл, дүүргийн шуурхай штабууд хүч, хэрэгслээ бэлэн байдалд шилжүүлж, борооны ус тогтсон байршлуудад ус соруулах ажиллагаа явуулсан.</t>
  </si>
  <si>
    <t xml:space="preserve">МҮОНРТ /MNB.mn/</t>
  </si>
  <si>
    <t xml:space="preserve">https://www.mnb.mn/i/349859</t>
  </si>
  <si>
    <t xml:space="preserve">2026.07.30</t>
  </si>
  <si>
    <t xml:space="preserve">2026.07.29-30-нд шилжих шөнө</t>
  </si>
  <si>
    <t xml:space="preserve">Голден парк хотхоны гадаа зодолдсон гэх мэдээллийг шалгаж байна</t>
  </si>
  <si>
    <t xml:space="preserve">“Баянгол дүүргийн Голден парк хотхоны гадаа залуус зодолдоод байна” гэх дуудлага цагдаагийн байгууллагад бүртгэгдсэн. Мөн согтуугаар автомашины цонх цохиж, иргэдийн амгалан тайван байдлыг алдагдуулж, хоорондоо зодолдсон гэх агуулга бүхий бичлэг цахим орчинд тархсан.</t>
  </si>
  <si>
    <t xml:space="preserve">Амьд явах эрх, халдашгүй чөлөөтэй байх эрх, бие махбодын болон сэтгэцийн халдашгүй байдал, аюулгүй, амар тайван орчинд амьдрах эрх</t>
  </si>
  <si>
    <t xml:space="preserve">Хувь хүн /зодоонд оролцсон иргэд/</t>
  </si>
  <si>
    <t xml:space="preserve">Цагдаагийн байгууллага шуурхай шалгалтын ажиллагаа явуулж, холбогдогчдыг олж тогтоон саатуулж, шалгалт үргэлжилж байна.</t>
  </si>
  <si>
    <t xml:space="preserve">ЦЕГ-ын Хэвлэл, мэдээллийн төв; МҮОНРТ</t>
  </si>
  <si>
    <t xml:space="preserve">https://www.mnb.mn/i/349916</t>
  </si>
  <si>
    <t xml:space="preserve">2026.07.20-07.31</t>
  </si>
  <si>
    <t xml:space="preserve">Шатахууны хомсдол үүсч, иргэдэд буруу мэдээлэл өгсөн гэх шүүмжлэл гарав</t>
  </si>
  <si>
    <t xml:space="preserve">Дотоодын зах зээлд шатахууны хомсдол үүссэнтэй холбогдуулан “Бензиний үнэ нэмэгдэхгүй, олон хоногийн нөөцтэй гэж иргэдэд худал мэдээлэл өгсөн сайд нарт хэзээ хариуцлага тооцох вэ” гэсэн шүүмжлэл олон нийтийн зүгээс гарав. Ашигт малтмал, хүнд үйлдвэрийн салбарын албан тушаалтан гурван сарын хэрэгцээний агуулах сав барьсан бол нөөцийн хомсдол үүсэхгүй байсныг хүлээн зөвшөөрсөн.</t>
  </si>
  <si>
    <t xml:space="preserve">Үнэн зөв мэдээлэл авах эрх, төрийн байгууллагын үйл ажиллагаа ил тод байх, зохистой амьжиргааны түвшинд амьдрах эрх, чөлөөтэй зорчих эрх</t>
  </si>
  <si>
    <t xml:space="preserve">Холбогдох яам, албан тушаалтнууд /нөөц бүрдүүлэлт, олон нийтэд мэдээлэл өгөх үүргээ зохих ёсоор биелүүлээгүй байж болзошгүй/</t>
  </si>
  <si>
    <t xml:space="preserve">БНХАУ-аас 6,000 тонн АИ-92, АИ-95 автобензин авах хэлцэл хийж, БНСУ-аас шатахуун нийлүүлэхээр болсон. Арав хоногийн дотор хэвийн нөөцөд хүргэнэ гэж мэдэгдэж, төв зам дагуух аймгуудад шатахуун түгээх станцуудын ажиллагааг зохицуулав.</t>
  </si>
  <si>
    <t xml:space="preserve">iKon.mn, МҮОНРТ</t>
  </si>
  <si>
    <t xml:space="preserve">https://ikon.mn/n/3pa1 
 https://www.mnb.mn/i/349949</t>
  </si>
  <si>
    <t xml:space="preserve">Зөвшөөрөлгүй ус ашиглаж, олборлолт хийж байсан ААН-ийн үйл ажиллагааг зогсоожээ</t>
  </si>
  <si>
    <t xml:space="preserve">Зөвшөөрөлгүйгээр ус ашиглаж, олборлолтын үйл ажиллагаа явуулж байсан аж ахуйн нэгжийн үйл ажиллагааг эрх бүхий байгууллагаас зогсоосон.</t>
  </si>
  <si>
    <t xml:space="preserve">Эрүүл, аюулгүй орчинд амьдрах эрх, цэвэр ус хүртээмжтэй байх эрх</t>
  </si>
  <si>
    <t xml:space="preserve">Зөвшөөрөлгүй ус ашиглаж, олборлолт хийсэн аж ахуйн нэгж</t>
  </si>
  <si>
    <t xml:space="preserve">Эрх бүхий байгууллага үйл ажиллагааг нь зогсоож, хариуцлага тооцох ажиллагаа явуулж байна.</t>
  </si>
  <si>
    <t xml:space="preserve">iKon.mn</t>
  </si>
  <si>
    <t xml:space="preserve">https://ikon.mn/n/3pa2</t>
  </si>
  <si>
    <t xml:space="preserve">2026.06-2026.07</t>
  </si>
  <si>
    <t xml:space="preserve">“Үерийн ус орж ирдэг Сэлбэ голд тохижилт хийснээр урсаж таарна. Төлөвлөлт буруу хийгдсэн”</t>
  </si>
  <si>
    <t xml:space="preserve">Сэлбэ гол дагуу зүлэг, явган хүний чулуун зам зэрэг тохижилтын ажил 80 гаруй хувьтай хийгдсэн боловч үерийн ус орж ирдэг гол дээр хийсэн уг төлөвлөлт буруу бөгөөд үерийн үед эвдрэх, иргэдэд эрсдэл учруулах магадлалтай талаар шүүмжлэл гарав.</t>
  </si>
  <si>
    <t xml:space="preserve">Улаанбаатар хот, Сэлбэ гол дагуу</t>
  </si>
  <si>
    <t xml:space="preserve">Эрүүл, аюулгүй орчинд амьдрах эрх, төрийн байгууллагаас чанартай үйлчилгээ авах эрх, төсвийн хөрөнгө үр ашигтай зарцуулагдах нийтийн ашиг сонирхол</t>
  </si>
  <si>
    <t xml:space="preserve">Хот төлөвлөлт, тохижилтын ажлыг захиалагч, гүйцэтгэгч байгууллага</t>
  </si>
  <si>
    <t xml:space="preserve">Мэдээлэлд төрийн байгууллагаас албан ёсны хариу арга хэмжээ авсан талаар дурдаагүй.</t>
  </si>
  <si>
    <t xml:space="preserve">https://ikon.mn/n/3p9c</t>
  </si>
  <si>
    <t xml:space="preserve">Цагдаагийн байгууллагын 102 тусгай дугаарт өчигдөр бүртгэгдсэн дуудлага, мэдээлэл</t>
  </si>
  <si>
    <t xml:space="preserve">Цагдаагийн байгууллагын 102 тусгай дугаарт 2166 дуудлага мэдээлэл бүртгэгдсэнээс 68 нь гэр бүл, хүүхдийн  хүчирхийллийн дуудлага, мэдээлэл байна.
 Мөн согтуугаар тээврийн хэрэгсэл жолоодсон 74 зөрчил гарсан.</t>
  </si>
  <si>
    <t xml:space="preserve">Амар тайван, аюулгүй орчинд амьдрах эрх, амьд явах эрх, халдашгүй чөлөөтэй байх эрх</t>
  </si>
  <si>
    <t xml:space="preserve">Цагдаагийн байгууллага дуудлага бүрд шуурхай ажиллаж, зөрчлийг илрүүлэн хариуцлага тооцож байна.</t>
  </si>
  <si>
    <t xml:space="preserve">МҮОНРТ, ЦЕГ</t>
  </si>
  <si>
    <t xml:space="preserve">https://www.mnb.mn/i/349892 https://www.mnb.mn/i/349893</t>
  </si>
  <si>
    <t xml:space="preserve">2023, 2024, 2025 он</t>
  </si>
  <si>
    <t xml:space="preserve">Улсын хилээр мансууруулах эм, сэтгэцэд нөлөөт бодис нэвтрүүлэх оролдлого илрэв</t>
  </si>
  <si>
    <t xml:space="preserve">Улсын хилээр мансууруулах эм, сэтгэцэд нөлөөт бодис нэвтрүүлэх оролдлогыг эрх бүхий байгууллагаас илрүүлсэн тухай мэдээлэв.</t>
  </si>
  <si>
    <t xml:space="preserve">Улсын хилийн боомт</t>
  </si>
  <si>
    <t xml:space="preserve">Эрүүл мэндээ хамгаалуулах эрх, хүүхэд, залуучуудыг хамгаалах эрх, аюулгүй байдал</t>
  </si>
  <si>
    <t xml:space="preserve">Хууль бусаар мансууруулах бодис нэвтрүүлэхийг завдсан этгээд</t>
  </si>
  <si>
    <t xml:space="preserve">Хил хамгаалах болон гаалийн байгууллага илрүүлж, хууль хяналтын байгууллагад шилжүүлэн шалгаж байна.</t>
  </si>
  <si>
    <t xml:space="preserve">https://www.mnb.mn/i/349909</t>
  </si>
  <si>
    <t xml:space="preserve">2026.08.03-08.07</t>
  </si>
  <si>
    <t xml:space="preserve">2026.08.05</t>
  </si>
  <si>
    <t xml:space="preserve">Би Монгол Улсын иргэн биш !!!</t>
  </si>
  <si>
    <t xml:space="preserve">Яг галзуурлаа. Би одоо яах юм бэ? Давааням даргаа. Би ч өөрөө Улсын Бүртгэлийн ерөнхий газар хэсэгхэн хугацаанд ажиллаж байсан. Ажил ихтэй, иргэдийн мэдлэггүй байдлаас болж асуудлууд хүндэрдгийг мэднэ. 
Гэхдээ энэ удаа намайг яаж байгаан бэ? Нотариатоор итгэмжлэх бичиж батлуулах гэсэн чинь хяналтын байцаагч Батсүх гэж хүн надад шалтгаан, тайлбар өгөхгүйгээр, ямар нэгэн байдлаар надад мэдэгдэлгүйгээр миний 16 онд сунгалт хийлгэж, 35 он болтол хүчинтэй байсан иргэний үнэмлэхийг хүчингүй болгосон байна. Ямар шалтгаантайгаа ч мэдэгдээгүй. Гэтэл би энэ 7 хоногтоо итгэмжлэх бичиж, нотариат орж, баталгаат орчуулга хийлгэж, апостиль авах ёстой. 
Яг одоо би Монгол улсын иргэн биш, төрийн үйлчилгээ авах боломжгүй, эрх зүйн ямар ч чадамжгүй, өөрийгөө ч нотариат дээр нотолж чадахгүй хүн болчихлоо. Элчингийн ярилцлага дээр хугацаа нь тулсан үед ийм юм байж болдог юм уу? 18 онд хүчингүй болгосон гэх. Гэтэл тэрнээс хойш би банк, банк бусууд дээр emongolia-гаас иргэний үнэмлэхийн лавлагаа, гадаад пасспорт захиалах, авахад хэвийн байсан, өөрийгөө төлөөлж чадаж байсан. Хамгийн наад захын юм нь би сонгуулиа өгч байсан, тэгэхэд хурууны хээгээр хүчингүй бол саналаа өгөх боломжгүй болно биздээ? 
Энэнээс болоод амьдрал сүйрч байна. Галзуурах нь. Ингэж болдог юм уу? </t>
  </si>
  <si>
    <t xml:space="preserve">Улаанбаатар хот, Улсын бүртгэлийн ерөнхий газар</t>
  </si>
  <si>
    <t xml:space="preserve">Иргэний үнэмлэх эзэмших, хүчинтэй иргэний үнэмлэхтэй байх эрх
Хуульд заасан үндэслэл, журмын дагуу шийдвэр гаргуулах эрх
Захиргааны байгууллагын шийдвэрийн талаар урьдчилан мэдэх эрх
Захиргааны шийдвэртэй танилцах эрх
Захиргааны шийдвэрт гомдол гаргах эрх
Төрийн үйлчилгээ тэгш, саадгүй авах эрх
Нотариатын үйлчилгээ авах эрх
Итгэмжлэл үйлдэх, баталгаажуулах эрх
Иргэний эрх зүйн хэлцэл хийх эрх
Гадаад паспорт авах, сунгуулах эрх
Хувийн мэдээлэл, улсын бүртгэлийн мэдээлэл үнэн зөв хадгалагдах эрх
Эрх зүйн чадамжаа хэрэгжүүлэх боломжтой байх эрх
Үр нөлөөтэй эрх зүйн хамгаалалт авах эрх
Төрийн байгууллагын хууль ёсны, үндэслэл бүхий үйл ажиллагаагаар үйлчлүүлэх эрх
Хууль ёсны итгэлээ хамгаалуулах эрх</t>
  </si>
  <si>
    <t xml:space="preserve">УБЕГ</t>
  </si>
  <si>
    <t xml:space="preserve">Иргэн Б.Энх-Амгалан</t>
  </si>
  <si>
    <t xml:space="preserve">https://www.facebook.com/story.php?story_fbid=27764954223114874&amp;id=100000810076475&amp;mibextid=wwXIfr&amp;rdid=BLxOpALXWyIjArCn#</t>
  </si>
  <si>
    <t xml:space="preserve">2022 оны сүүлээс хойш</t>
  </si>
  <si>
    <t xml:space="preserve">Цахим хөгжил, инновац, харилцаа холбооны сайд Ч.Номины хамаарал бүхий "Монгол ТВ" ажилчдынхаа цалингаас нийгмийн даатгалын шимтгэлийг нь суутган авдаг мөртлөө хоёр жил төлөөгүй талаар тус телевизийн  ажилтан цахим сүлжээнд ийнхүү бичжээ.</t>
  </si>
  <si>
    <t xml:space="preserve">Нийгмийн даатгалын шимтгэлийн төлөлт 2022 оны сүүлээс хойш хийгдээгүй. Цалин цагтаа орсон тохиолдлыг сүүлийн гурван жил би хараагүй. Тоочоод бичвэл олон зүйл бий. Мэргэжилдээ дуртай, хамт олондоо дассан болохоор өнөөдрийг хүртэл ажиллаж байгаа ч арай дэндэж байна"</t>
  </si>
  <si>
    <t xml:space="preserve">Улаанбаатар хот, Монгол ТВ</t>
  </si>
  <si>
    <t xml:space="preserve">Хөдөлмөрлөх эрх
Шударга, таатай хөдөлмөрийн нөхцөлөөр хангагдах эрх
Шударга цалин хөлс авах эрх
Цалин хөлсөө хугацаанд нь авах эрх
Нийгмийн даатгалд хамрагдах эрх
Нийгмийн хамгаалал хүртэх эрх
Амьжиргааны зохистой түвшинд хүрэх эрх
Өмчлөх эрх
Үр дүнтэй эрх зүйн хамгаалалт авах эрх</t>
  </si>
  <si>
    <t xml:space="preserve">Монгол ТВ</t>
  </si>
  <si>
    <t xml:space="preserve">Сошиал сувгууд</t>
  </si>
  <si>
    <t xml:space="preserve">https://www.facebook.com/story.php?story_fbid=1556084686532647&amp;id=100063933908097&amp;mibextid=wwXIfr&amp;rdid=3Fui2KnS1GeyFIE4#</t>
  </si>
  <si>
    <t xml:space="preserve">2026.08.10-08.21</t>
  </si>
  <si>
    <t xml:space="preserve">2026.08.15</t>
  </si>
  <si>
    <t xml:space="preserve">"Энгийн" иргэд нь нэг бол өвдөж түргэн дуудаж замын хөдөлгөөнд оролцоно
Үгүй бол үхэж байж зөвшөөрөгдсөн тэргээр зөөвөрлөгдөнө.</t>
  </si>
  <si>
    <t xml:space="preserve">Улаанбаатар хот нийтдээ 1162км урт 400 гаруй уулзвар, 6300 гаруй камертайгаас хиймэл оюун ухаан суурил сан 4800 гаруй камерт 20000 төгрөгийн торгууль бичигдэх бол хэдэн камер өнгөрөхөд хэдэн төгрөг нь улсын төсөв бүрдүүлэлт болох вэ,
ТӨР болон түүний албан хаагч нарт хуульд олгосон бүрэн эрхийн хүрээнд журам гаргахаас "ЭНГИЙН", "УЛНЫ" иргэд амьдарч байгаагийнх нь хувьд АМЬД ЯВАХ, ЧӨЛӨӨТЭЙ ЗОРЧИХ ЭРХ-ийг хязгаарласан журам батлах ёсгүй. Энэ бол хүний эрхийн асар том зөрчил шүү.Үнэхээр хөгийн ч юм даа. Олон улсын зочид чинь үнэндээ сошиал иргэд ингэж бухимдлаа илэрхийлж байгааг мэдэж байгаа шдээ</t>
  </si>
  <si>
    <t xml:space="preserve">Үндсэн хуулийн зөрчил: Иргэд Үндсэн хуулиар олгогдсон Монгол Улсын нутаг дэвсгэрт чөлөөтэй зорчих эрхийг хууль бусаар хязгаарлаж байна.
Үндэслэлгүй торгууль: Бүсчлэл тодорхой бус байхад хотын захын хэсгүүдэд (Нисэх, Биокомбинат гэх мэт) камерын хяналтаар шууд торгууль ногдуулж байгаа нь иргэдийн амьжиргаа, эдийн засгийн эрх чөлөөнд халдаж байна.
Хүүхдийн сурч боловсрох эрх: Хичээлийн шинэ жил эхлэх гэж буйтай холбогдуулан өглөөний 07:00 эсвэл 08:00 цагт хүүхдээ сургууль, цэцэрлэгт зөөхөд амьдралаас тасархай, хүнд сурталтай шийдвэр болсон.</t>
  </si>
  <si>
    <t xml:space="preserve">ЗГ, НЗД</t>
  </si>
  <si>
    <t xml:space="preserve">Хуульч ээж</t>
  </si>
  <si>
    <t xml:space="preserve">https://www.facebook.com/UBTCC/posts/%D0%BD%D0%B0%D0%B9%D0%BC%D0%B4%D1%83%D0%B3%D0%B0%D0%B0%D1%80-%D1%81%D0%B0%D1%80%D1%8B%D0%BD-15-%D0%BD%D0%B0%D0%B0%D1%81-%D0%B1%D1%83%D1%8E%D1%83-%D1%8D%D0%BD%D1%8D-%D0%B4%D0%BE%D0%BB%D0%BE%D0%BE-%D1%85%D0%BE%D0%BD%D0%BE%D0%B3%D0%B8%D0%B9%D0%BD-%D0%B1%D1%8F%D0%BC%D0%B1%D0%B0-%D0%B3%D0%B0%D1%80%D0%B0%D0%B3%D0%B0%D0%B0%D1%81-%D1%83%D0%BB%D1%81%D1%8B%D0%BD-%D0%B4%D1%83%D0%B3%D0%B0%D0%B0%D1%80%D1%8B%D0%BD-%D1%82/1339849014976453/</t>
  </si>
  <si>
    <t xml:space="preserve">Хэрээс хэтэрлээ. Лалын харгислал үйлдэгчидтэй адил үйлдэл бишүү</t>
  </si>
  <si>
    <t xml:space="preserve">Хэрээс хэтэрлээ. Лалын харгислал үйлдэгчидтэй адил үйлдэл бишүү. Хүний эрхийн зөрчил, гадны иргэдийн эрхэнд шууд халдсан үйлдэл. Хятад улс зүгээр хараад суух уу⁉️ анхаараачээ</t>
  </si>
  <si>
    <t xml:space="preserve">Сүхбаатар аймаг,  Сүхбаатар сум, 5-р баг</t>
  </si>
  <si>
    <t xml:space="preserve">Хүний нэр төрийг гутаах, доромжлох, Ялгаварлан гадуурхалт, Хүчирхийлэл, айлган сүрдүүлэлт
</t>
  </si>
  <si>
    <t xml:space="preserve"> Г.Солонго, Г.Адилбиш</t>
  </si>
  <si>
    <t xml:space="preserve">Хууль бусаар халдаж, дураар авирласан гэх асуудалтай холбогдуулан Цагдаагийн байгууллагаас тэмцэгч Г.Солонго, Г.Адилбиш нарыг 48 цагийн хугацаатай саатуулж, шалгалтын ажиллагаа явуулж эхэлсэн.</t>
  </si>
  <si>
    <t xml:space="preserve">https://x.com/abazarragchaa/status/2088588472709968059</t>
  </si>
  <si>
    <t xml:space="preserve">2026.08.18</t>
  </si>
  <si>
    <t xml:space="preserve">2026.08</t>
  </si>
  <si>
    <t xml:space="preserve">Сэтгүүлчийн мэргэжлийн үйл ажиллагаанд саад учруулсан төрийн албан тушаалтны үйлдэл</t>
  </si>
  <si>
    <t xml:space="preserve">Нийтийн эрх ашгийг хөндсөн тендерийн асуудлаар сурвалжилга хийж байсан сэтгүүлчийн биед халдаж, мэргэжлийн үйл ажиллагаанд нь саад учруулан, техник хэрэгслийг нь дур мэдэн хураан авсан гомдол бүртгэгдэв.</t>
  </si>
  <si>
    <t xml:space="preserve">Улаанбаатар хот, Чингэлтэй дүүрэг</t>
  </si>
  <si>
    <t xml:space="preserve">Үзэл бодлоо чөлөөтэй илэрхийлэх, үг хэлэх, хэвлэн нийтлэх эрх  Мэдээлэл хайх, хүлээн авах, түгээх эрх, Мэргэжлийн халдашгүй байх эрх</t>
  </si>
  <si>
    <t xml:space="preserve">Төрийн өмчит байгууллагын хамгаалалтын алба, холбогдох албан тушаалтнууд</t>
  </si>
  <si>
    <t xml:space="preserve">Цагдаагийн байгууллагаас гомдлыг хүлээн авч, зөрчлийн хэрэг нээн шалгаж эхэлсэн.</t>
  </si>
  <si>
    <t xml:space="preserve">Монголын хэвлэл мэдээллийн зөвлөл</t>
  </si>
  <si>
    <t xml:space="preserve">https://presscouncil.mn</t>
  </si>
  <si>
    <t xml:space="preserve">Хяналтын камерийн бичлэг болон хохирогчийн өргөдөл</t>
  </si>
  <si>
    <t xml:space="preserve">2026.08.24-08.28</t>
  </si>
  <si>
    <t xml:space="preserve">2026.08.24</t>
  </si>
  <si>
    <t xml:space="preserve">Хөгжлийн бэрхшээлтэй иргэдийн нийтийн тээвэрт зорчих дэд бүтцийн хүртээмжгүй байдал</t>
  </si>
  <si>
    <t xml:space="preserve">Нийслэлийн төв замын дагуух шинээр ашиглалтад орсон автобусны буудлууд тэргэнцэртэй иргэдэд зориулсан зам гарцгүй байгаагаас үүдэн зорчих эрх, нийтийн үйлчилгээний хүртээмж хязгаарлагджээ.</t>
  </si>
  <si>
    <t xml:space="preserve">Улаанбаатар хот, Сүхбаатар дүүрэг</t>
  </si>
  <si>
    <t xml:space="preserve">Тэгш эрхтэй байх, ялгаварлан гадуурхалтаас ангид байх эрх Чөлөөтэй зорчих эрх , Нийтийн үйлчилгээний хүртээмжтэй байх эрх</t>
  </si>
  <si>
    <t xml:space="preserve">Зам барилгын гүйцэтгэгч компани, захиалагч байгууллага</t>
  </si>
  <si>
    <t xml:space="preserve">Нийслэлийн Засаг даргын тамгын газраас шалгалт явуулж, стандартад нийцүүлэн засварлах үүрэг өгсөн.</t>
  </si>
  <si>
    <t xml:space="preserve">Хүний эрхийн Үндэсний Комисс</t>
  </si>
  <si>
    <t xml:space="preserve">https://mn-nhrc.gov.mn</t>
  </si>
  <si>
    <t xml:space="preserve">2026.08.28</t>
  </si>
  <si>
    <t xml:space="preserve">Эрүүл мэндийн тусламж үйлчилгээний тэгш хүртээмжгүй байдал ба эмийн үнийн хөөрөгдөл</t>
  </si>
  <si>
    <t xml:space="preserve">Нэн шаардлагатай хорт хавдрын болон чихрийн шижингийн хөнгөлөлттэй эмүүд тасарч хомсдсоноос иргэдийн санхүүгийн дарамт нэмэгдэж, эрүүл мэндээ хамгаалуулах эрхэд сөрөг нөлөө үүсгэв.</t>
  </si>
  <si>
    <t xml:space="preserve">Улаанбаатар хот болон 21 аймаг</t>
  </si>
  <si>
    <t xml:space="preserve">Эрүүл мэндээ хамгаалуулах, эмнэлгийн тусламж авах эрх  Амьд явах эрх , Нийгмийн хамгааллын эрх</t>
  </si>
  <si>
    <t xml:space="preserve">Эм ханган нийлүүлэх монополь аж ахуйн нэгжүүд, нийлүүлэлтийн зохицуулагч байгууллагууд</t>
  </si>
  <si>
    <t xml:space="preserve">Шударга өрсөлдөөн, хэрэглэгчийн төлөө газраас эмийн үнэ, монополь байдалд шалгалт эхлүүлсэн.</t>
  </si>
  <si>
    <t xml:space="preserve">Эрүүл мэндийн яам</t>
  </si>
  <si>
    <t xml:space="preserve">https://moh.gov.mn</t>
  </si>
  <si>
    <t xml:space="preserve">ХЗДХ-ийн сайдын тушаал, чиглэлээр философич С.Молор-Эрдэнийг хайж эхэлжээ</t>
  </si>
  <si>
    <t xml:space="preserve">ХЗДХ-ийн сайд С.Амарсайханы тушаал, философич С.Молор-Эрдэнэ хүмүүсийг үндэсний аюулгүй байдал, тусгаар тогтнол, язгуур түүх, өв соёлыг илтэд гуйвуулж гутаан доромжилсон гэх үндэслэлээр ажиллаж эхэлсэн. Үзэл бодлоо илэрхийлсэн төрийн байгууллагын удирдлагын түвшнээс хойш журмаар шалгуулах чиглэл өгсөн </t>
  </si>
  <si>
    <t xml:space="preserve">Үзэл бодлоо чөлөөтэй илэрхийлэх, үг хэлэх, хэвлэн нийтлэх эрх  Эрдэм шинжилгээ, судалгаа хийх, бүтээл туурвих эрх чөлөө, Үзэл бодлоор ялгаварлан гадуурхагдахгүй байх </t>
  </si>
  <si>
    <t xml:space="preserve">ХЗДХ-ийн сайд С.Амарсайхан, ХЗДХЯ</t>
  </si>
  <si>
    <t xml:space="preserve">iSee.mn, Khumuun.mn</t>
  </si>
  <si>
    <t xml:space="preserve">https://isee.mn/n/94530</t>
  </si>
  <si>
    <t xml:space="preserve">2026.08.31-09.04</t>
  </si>
  <si>
    <t xml:space="preserve">2026.09.04</t>
  </si>
  <si>
    <t xml:space="preserve">2026.09.02-04</t>
  </si>
  <si>
    <t xml:space="preserve">ХЭҮК Хөвсгөл аймагт ажиллаж, төрийн байгууллагууд дахь эрхийн зөрчлийн гомдлыг шалгав</t>
  </si>
  <si>
    <t xml:space="preserve">Хөвсгөл аймагт хууль сахиулах байгууллагын саатуулах байрны нөхцөл, эрүүл мэнд, боловсролын тусламж үйлчилгээний тэгш хүртээмж, хүүхэд хамгааллын нөхцөл байдалд ХЭҮК-оос хяналт шалгалт хийж, иргэдийн өргөдлийг хүлээн авав.</t>
  </si>
  <si>
    <t xml:space="preserve">Хөвсгөл аймаг</t>
  </si>
  <si>
    <t xml:space="preserve">Төрийн байгууллага, албан тушаалтанд өргөдөл, гомдол гаргах эрх  Халдашгүй чөлөөтэй байх эрх  Хүүхдийн эрх</t>
  </si>
  <si>
    <t xml:space="preserve">Орон нутгийн засаг захиргаа, төрийн үйлчилгээний байгууллагууд</t>
  </si>
  <si>
    <t xml:space="preserve">ХЭҮК-оос зөрчлийг арилгуулахаар холбогдох албан тушаалтнуудад шаардлага, зөвлөмж өгсөн.</t>
  </si>
  <si>
    <t xml:space="preserve">Монгол Улсын Хүний эрхийн Үндэсний Комисс</t>
  </si>
  <si>
    <t xml:space="preserve">https://nhrcm.gov.mn/</t>
  </si>
  <si>
    <t xml:space="preserve">2026.09.07-09.10</t>
  </si>
  <si>
    <t xml:space="preserve">2026.09.09</t>
  </si>
  <si>
    <t xml:space="preserve">2026.09.08</t>
  </si>
  <si>
    <t xml:space="preserve">УИХ-ын чуулган дээр үндэстэн ястнаар ялгаварлан гадуурхсан шинжтэй мэдэгдэл гаргасныг шалгуулахаар ханджээ</t>
  </si>
  <si>
    <t xml:space="preserve">УИХ-ын ээлжит бус чуулганы үеэр УИХ-ын гишүүн М.Нарантуяа сайд Т.Аубакирыг үндэс угсаагаар нь ялгаварлан огцруулах санал гаргасныг сайд Т.Аубакир болон бусад гишүүд ялгаварлан гадуурхсан үйлдэл хэмээн үзэж хуулийн байгууллагад хандсан.</t>
  </si>
  <si>
    <t xml:space="preserve">Үндэс угсаа, арьсны өнгөөр үл ялгаварлан гадуурхагдах, тэгш эрхтэй байх эрх  Хүний нэр төр, алдар хүндийн халдашгүй байдал</t>
  </si>
  <si>
    <t xml:space="preserve">УИХ-ын гишүүн М.Нарантуяа (Нара)</t>
  </si>
  <si>
    <t xml:space="preserve">Сайд Т.Аубакир болон тус тойргоос сонгогдсон гишүүд хууль, хяналтын байгууллага болон Ёс зүйн дэд хороонд шалгуулахаар хандсан.</t>
  </si>
  <si>
    <t xml:space="preserve">iKon.mn мэдээллийн агентлаг</t>
  </si>
  <si>
    <t xml:space="preserve">https://ikon.mn/n/3q6c</t>
  </si>
  <si>
    <t xml:space="preserve">2026.09.10</t>
  </si>
  <si>
    <t xml:space="preserve">Улс төрийн хэлмэгдэгсдийн дурсгалын өдрөөр цагаатгал, нөхөн олговрын хэрэгжилтийг хөндөв</t>
  </si>
  <si>
    <t xml:space="preserve">Улс төрийн хилс хэрэгт хэлмэгдэгчдийн дурсгалыг хүндэтгэх 31 дэх өдрөөр хэлмэгдэгчдийн нэр төрийг сэргээх, тэдний ар гэрт олгох нөхөн олговрыг бүрэн олгох, шударга шүүхээр шүүлгэх эрхийн баталгааг хангах талаар холбогдох байгууллагуудаас мэдээлэв.</t>
  </si>
  <si>
    <t xml:space="preserve">Шударга шүүхээр шүүлгэх эрх, Цагаатгуулах, нэр төрөө сэргээлгэх эрх, Нөхөн олговор авах эрх</t>
  </si>
  <si>
    <t xml:space="preserve">Түүхэн хэлмэгдүүлэлт үйлдсэн эрх баригч тогтолцоо / нөхөн олговрын ажиллагаа удааширсан асуудал</t>
  </si>
  <si>
    <t xml:space="preserve">Цагаатгах ажлыг удирдан зохион байгуулах Улсын комиссоос цагаатгал, нөхөн олговрын олголтыг үргэлжлүүлэн шалгаж шийдвэрлэж байна.</t>
  </si>
  <si>
    <t xml:space="preserve">Цагаатгах ажлыг удирдан зохион байгуулах Улсын комисс, iKon.mn</t>
  </si>
  <si>
    <t xml:space="preserve">https://ikon.mn/n/3q84</t>
  </si>
  <si>
    <t xml:space="preserve">2026.09.11-09.18</t>
  </si>
  <si>
    <t xml:space="preserve">2026.09.18</t>
  </si>
  <si>
    <t xml:space="preserve">Гадаадын 94 иргэнийг Монгол Улсад дахин оруулахгүй байх хугацаа тогтоон албадан гаргажээ</t>
  </si>
  <si>
    <t xml:space="preserve">Гадаадын иргэн, харьяатын газар наймдугаар сард 145 аж ахуйн нэгжийн 2,299 гадаадын иргэнийг хамруулан 30 удаа хяналт шалгалт хийж, нийт 2,994 гадаадын иргэнд хариуцлага тооцжээ. Зөрчлийн 91.55 хувь нь уригч хуулийн этгээдээс шалтгаалсан байхад 12 улсын 94 иргэнийг Монгол Улсад дахин оруулахгүй байх хугацаа тогтоон албадан гаргасан байна. Зөрчлийн дийлэнх нь урьсан байгууллагаас үүдэлтэй байхад хариуцлагыг голлон гадаадын иргэнд ногдуулж буй нь анхаарал татаж байна.</t>
  </si>
  <si>
    <t xml:space="preserve">Гадаадын иргэн, цагаач ажилчдын чөлөөтэй зорчих, оршин суух эрх, албадан гаргах шийдвэрийг хууль ёсны журмаар хянуулах эрх</t>
  </si>
  <si>
    <t xml:space="preserve">Гадаадын иргэн, харьяатын газар; уригч аж ахуйн нэгжүүд</t>
  </si>
  <si>
    <t xml:space="preserve">Гадаадын иргэн, харьяатын газар 94 иргэнийг албадан гаргасан</t>
  </si>
  <si>
    <t xml:space="preserve">https://ikon.mn/n/3qfb</t>
  </si>
  <si>
    <t xml:space="preserve">2026.09.19-09.26</t>
  </si>
  <si>
    <t xml:space="preserve">2026.09.25</t>
  </si>
  <si>
    <t xml:space="preserve">2026.09.02 оноос хойш, 2026.09.24-нд сунгасан</t>
  </si>
  <si>
    <t xml:space="preserve">Философич С.Молор-Эрдэнийг дахин нэг сарын хугацаатай цагдан хорихоор болжээ</t>
  </si>
  <si>
    <t xml:space="preserve">Философич С.Молор-Эрдэнийг Эрүүгийн хуулийн 19.9 дүгээр зүйлийн 1 дэх хэсэгт заасан "Үндэсний эв нэгдлийг бусниулах" гэмт хэрэгт холбогдуулан шалгаж байна. Түүнийг 2026.09.02-ноос нэг сар цагдан хорьсон бөгөөд шүүх 2026.09.24-ний хуралдаанаар 2026.09.30-наас эхлэн дахин нэг сараар сунгажээ. Яллах талын үндэслэл нь олон нийтэд хийсэн яриа, ярилцлагад илэрхийлсэн үзэл бодолтой холбоотой бөгөөд үзэл бодол илэрхийлсэн үйлдлийн төлөө урт хугацаагаар цагдан хорих нь шаардлагатай, хэр хэмжээндээ нийцсэн эсэх нь эргэлзээтэй байна.</t>
  </si>
  <si>
    <t xml:space="preserve">Үзэл бодлоо чөлөөтэй илэрхийлэх, үг хэлэх эрх, шударга шүүхээр шүүлгэх эрх, хувь хүний эрх чөлөө</t>
  </si>
  <si>
    <t xml:space="preserve">Прокурор, анхан шатны шүүх, мөрдөн байцаах байгууллага</t>
  </si>
  <si>
    <t xml:space="preserve">Шүүх цагдан хорих хугацааг сунгасан; өмгөөлөгчийн хүсэлтийг хангаагүй</t>
  </si>
  <si>
    <t xml:space="preserve">iKon.mn, UBN.mn</t>
  </si>
  <si>
    <t xml:space="preserve">https://ikon.mn/n/3qli
https://ubn.mn/p/101300</t>
  </si>
  <si>
    <t xml:space="preserve">2026 оны 1 дүгээр сараас хойш</t>
  </si>
  <si>
    <t xml:space="preserve">Оросын талд тулалдаж байгаад Украинд олзлогдсон гадаадын иргэдийн дунд Монгол Улсын нэг иргэн бүртгэгджээ</t>
  </si>
  <si>
    <t xml:space="preserve">55 настай Монгол Улсын иргэн П.Пүрэв-Очир ОХУ-ын зэвсэгт хүчний 38 дугаар мото буудлагын бригадын бүрэлдэхүүнд байлдаж байгаад Запорожье мужид олзлогдсон тухай StopRussianRecruiters.org сангийн мэдээлэлд бүртгэгджээ. Kyiv Post сонин Украины тал 2026 оны эхний есөн сард олзолсон гадаадын иргэдийн дунд Монгол Улсын иргэн байгааг дурдаж, ОХУ эдийн засгийн хувьд эмзэг хүмүүсийг өндөр цалинтай ажил амлан элсүүлж, паспортыг нь хурааж буй нь хүн худалдаалах шинжтэй байж болзошгүйг Эмнести Интернэшнлийн дүгнэлтэд үндэслэн мэдээлсэн. ГХЯ шаардлагатай дэмжлэг үзүүлж байгаа гэв.</t>
  </si>
  <si>
    <t xml:space="preserve">Украин (Запорожье муж), ОХУ</t>
  </si>
  <si>
    <t xml:space="preserve">Амьд явах эрх, хүн худалдаалах, мөлжлөгөөс ангид байх эрх, гадаадад байгаа иргэн болон хөдөлмөрийн цагаачийн эрх ашгийг хамгаалуулах эрх</t>
  </si>
  <si>
    <t xml:space="preserve">ОХУ-ын цэрэгт элсүүлэгч этгээд, байгууллага</t>
  </si>
  <si>
    <t xml:space="preserve">ГХЯ мэдээлэл хүлээн авч, дэмжлэг үзүүлэхээр ажиллаж байна</t>
  </si>
  <si>
    <t xml:space="preserve">iKon.mn, Zindaa.mn, Kyiv Post</t>
  </si>
  <si>
    <t xml:space="preserve">https://ikon.mn/n/3qku
https://news.zindaa.mn/5d31
https://www.kyivpost.com/post/85416</t>
  </si>
  <si>
    <t xml:space="preserve">2026.09.24</t>
  </si>
  <si>
    <t xml:space="preserve">2026 оны 7 дугаар сар</t>
  </si>
  <si>
    <t xml:space="preserve">Улайссан сэрээгээр хүүхдүүдийг гэмтээжээ</t>
  </si>
  <si>
    <t xml:space="preserve">Өвөрхангай аймагт 38 настай эрэгтэй найман настай хөвгүүн, таван настай охины гар, хөлийг улайсгасан сэрээгээр түлж гэмтээсэн байна. Хүүхдүүдийн асран хамгаалагч хоёр сар гаруйн дараа цагдаад мэдэгдсэн бөгөөд Өвөрхангай аймгийн Цагдаагийн газар мөрдөн шалгаж байна. Хүүхэд хамгааллын тогтолцоо хүчирхийллийг цаг алдалгүй илрүүлж чадаагүй нь анхаарал татаж байна.</t>
  </si>
  <si>
    <t xml:space="preserve">Өвөрхангай аймаг</t>
  </si>
  <si>
    <t xml:space="preserve">Хүүхдийн хүчирхийллээс ангид байх эрх, эрүүл мэнд, бие махбодын бүрэн бүтэн байдал</t>
  </si>
  <si>
    <t xml:space="preserve">38 настай эрэгтэй Б</t>
  </si>
  <si>
    <t xml:space="preserve">Өвөрхангай аймгийн Цагдаагийн газар мөрдөн шалгаж байна</t>
  </si>
  <si>
    <t xml:space="preserve">Өнөөдөр сонин</t>
  </si>
  <si>
    <t xml:space="preserve">https://www.unuudur.mn/a/284020</t>
  </si>
  <si>
    <t xml:space="preserve">2026.09.21</t>
  </si>
  <si>
    <t xml:space="preserve">2005-2026 он</t>
  </si>
  <si>
    <t xml:space="preserve">Б.Эрдэнэсүхийг 43.5 сая төгрөгөөр торгож, 2005-2020 он хүртэл эхнэрээ зодсон гэх үйлдлийг нь хэрэгсэхгүй болгожээ</t>
  </si>
  <si>
    <t xml:space="preserve">Шүүх Б.Эрдэнэсүхэд холбогдох гэр бүлийн хүчирхийллийн хэргийг хаалттай хэлэлцэж, түүнийг 43.5 сая төгрөгөөр торгож, хохирогч эхнэр болон насанд хүрээгүй хохирогчид сэтгэл санааны хохирол төлүүлэхээр шийдвэрлэжээ. Харин 2005-2020 оны хооронд эхнэрээ удаа дараа зодсон гэх үйлдлийг хэрэгсэхгүй болгосон нь олон жил үргэлжилсэн гэр бүлийн хүчирхийллийн хохирогчийн шударга шүүхээр шүүлгэх, хохирлоо барагдуулах эрх бүрэн хангагдсан эсэх асуудлыг хөндөж байна.</t>
  </si>
  <si>
    <t xml:space="preserve">Гэр бүлийн хүчирхийллээс ангид байх эрх (эмэгтэй хохирогч), шударга шүүхээр шүүлгэх, хохирлоо барагдуулах эрх</t>
  </si>
  <si>
    <t xml:space="preserve">Б.Эрдэнэсүх</t>
  </si>
  <si>
    <t xml:space="preserve">Шүүх торгох ял оногдуулж, хохирол төлүүлэхээр шийдвэрлэсэн; хэргийн нэг хэсгийг хэрэгсэхгүй болгосон</t>
  </si>
  <si>
    <t xml:space="preserve">UBN.mn</t>
  </si>
  <si>
    <t xml:space="preserve">https://ubn.mn/p/101187</t>
  </si>
  <si>
    <t xml:space="preserve">2024 оны 1 дүгээр сар (дэлбэрэлт), 2026.09.25 (шүүх хуралдаан)</t>
  </si>
  <si>
    <t xml:space="preserve">Дүнжингаравын уулзварт болсон дэлбэрэлтийн хэргийг нэмэлт мөрдөн байцаалт хийлгэхээр прокурорт буцаав</t>
  </si>
  <si>
    <t xml:space="preserve">Дүнжингаравын уулзварт шингэрүүлсэн байгалийн хий тээвэрлэж явсан машин дэлбэрч олон хүн амь үрэгдэж, гэмтэж, 207 дугаар байр шатсан хэргийн шүүхийн урьдчилсан хэлэлцүүлэг 2026.09.25-нд болжээ. Шүүгч 207 дугаар байрны оршин суугчдыг хуульд заасан журмын дагуу хохирогчоор тогтоогоогүй зэрэг үндэслэлээр хэргийг прокурорт буцаасан. Хэрэг гарснаас хойш хоёр жил гаруй өнгөрсөн ч хохирогчдын эрх зүйн байдал  , зөвхөн жолооч ганцаараа шүүгдэж байгаа нь хохирлоо барагдуулах эрх удаашралтай байгааг харуулж байна.</t>
  </si>
  <si>
    <t xml:space="preserve">Улаанбаатар хот, Баянзүрх дүүрэг, Дүнжингаравын уулзвар</t>
  </si>
  <si>
    <t xml:space="preserve">Хохирогчийн шударга шүүхээр шүүлгэх, хохирлоо барагдуулах эрх, өмчлөх эрх</t>
  </si>
  <si>
    <t xml:space="preserve">"Дашваанжил" ХХК-ийн жолооч Ч.Р; мөрдөн байцаах байгууллага, прокурор</t>
  </si>
  <si>
    <t xml:space="preserve">Шүүх хэргийг нэмэлт мөрдөн байцаалтад буцаасан</t>
  </si>
  <si>
    <t xml:space="preserve">https://ikon.mn/n/3qlr
https://ubn.mn/p/101324</t>
  </si>
  <si>
    <t xml:space="preserve">2026 оны 9 дүгээр сар</t>
  </si>
  <si>
    <t xml:space="preserve">Нэр бүхий иргэдийг ДОХ-той гэх үндэслэлгүй, худал мэдээллийг цахим орчинд тарааж байна</t>
  </si>
  <si>
    <t xml:space="preserve">Олон нийтийн сүлжээгээр нэр бүхий жүжигчин, дуучдыг ДОХ-ын халдвартай, халдвартай хүүхэд төрүүлсэн гэх үндэслэлгүй мэдээлэл тараагдсаныг Халдварт өвчин судлалын үндэсний төв няцааж мэдэгдэл гаргажээ. Хүний эрүүл мэндийн талаарх худал мэдээлэл тараах нь нэр төр, хувийн нууцад халдаж, ХДХВ-тэй амьдарч буй хүмүүсийг гадуурхах хандлагыг гааруулах эрсдэлтэй.</t>
  </si>
  <si>
    <t xml:space="preserve">Цахим орчин (Монгол Улс)</t>
  </si>
  <si>
    <t xml:space="preserve">Хувийн нууцаа хамгаалуулах эрх, нэр төр, алдар хүндээ хамгаалуулах эрх</t>
  </si>
  <si>
    <t xml:space="preserve">Цахим орчинд худал мэдээлэл тараасан   этгээд</t>
  </si>
  <si>
    <t xml:space="preserve">ХӨСҮТ мэдэгдэл гаргаж мэдээллийг няцаасан</t>
  </si>
  <si>
    <t xml:space="preserve">https://ubn.mn/p/101177</t>
  </si>
  <si>
    <t xml:space="preserve">2026.09.23</t>
  </si>
  <si>
    <t xml:space="preserve">2024-2026 он</t>
  </si>
  <si>
    <t xml:space="preserve">Аавдаа шинэ жилээр бэлэглэх гэж захиалсан байр нь ашиглалтад орсонгүй, 50 сая төгрөгөө ч буцааж авч чадсангүй</t>
  </si>
  <si>
    <t xml:space="preserve">Баянзүрх дүүргийн 33 дугаар хороонд "Бизнес кластер групп" ХХК-ийн хэрэгжүүлж буй "Грийн хоум эко" төслийн захиалагчид төлбөрөө бүрэн төлсөн ч барилга ашиглалтад ороогүй, мөнгөө буцааж авч чадахгүй байна. УИХ-ын мэдээллээр 2024-2026 онд орон сууц захиалгатай холбоотой 1,167 хэрэг бүртгэгдэж, 995 иргэнд 64.5 тэрбум төгрөгийн хохирол учирсан байна.</t>
  </si>
  <si>
    <t xml:space="preserve">Улаанбаатар хот, Баянзүрх дүүргийн 33 дугаар хороо</t>
  </si>
  <si>
    <t xml:space="preserve">Өмчлөх эрх, хэрэглэгчийн эрх</t>
  </si>
  <si>
    <t xml:space="preserve">"Бизнес кластер групп" ХХК; барилгын салбарын хяналтын байгууллага</t>
  </si>
  <si>
    <t xml:space="preserve">https://ubn.mn/p/101264</t>
  </si>
  <si>
    <t xml:space="preserve">2026.09.22</t>
  </si>
  <si>
    <t xml:space="preserve">"Монос" групп зураг төслийн дагуу баригдаагүй барилгад өндөр үнээр захиалга авч, иргэдийг хохироож байна</t>
  </si>
  <si>
    <t xml:space="preserve">Хан-Уул дүүргийн 11 дүгээр хороо, Зайсан толгойн зүүн талд баригдаж буй орон сууцны 104 дүгээр блок архитектурын зураг төслийн дагуу баригдаагүй, даацын хана, дам нуруунд сул бетон, ил гарсан арматур, агааржуулалт болон цэвэр, бохир усны шугамын зөрчилтэй байгааг захиалагчид мэдээлжээ. Гүйцэтгэгч "Шинэсэгэ бүйлд" ХХК барилга барих тусгай зөвшөөрөлгүй гэх мэдээлэлтэй.</t>
  </si>
  <si>
    <t xml:space="preserve">Улаанбаатар хот, Хан-Уул дүүргийн 11 дүгээр хороо</t>
  </si>
  <si>
    <t xml:space="preserve">Өмчлөх эрх, хэрэглэгчийн эрх, барилгын аюулгүй байдал</t>
  </si>
  <si>
    <t xml:space="preserve">"Монос" групп, "Шинэсэгэ бүйлд" ХХК</t>
  </si>
  <si>
    <t xml:space="preserve">Zindaa.mn</t>
  </si>
  <si>
    <t xml:space="preserve">https://news.zindaa.mn/5czv</t>
  </si>
  <si>
    <t xml:space="preserve">Боловсролын сайд эмэгтэй гишүүнийг "түгжилмаа" хэмээн нэрлэсэн нь уучлалт гуйх, огцруулах шаардлагад хүргэв</t>
  </si>
  <si>
    <t xml:space="preserve">Боловсролын сайд Л.Энх-Амгалан төсвийн зарцуулалттай холбоотой баримтыг ил болгосон эмэгтэй УИХ-ын гишүүнийг "түгжилмаа" хэмээн нэрлэсэн нь эмэгтэй гишүүдийн эсэргүүцэлд хүргэж, А.Ариунзаяа тэргүүтэй эмэгтэй гишүүд сайдаас уучлал гуйхыг шаарджээ. Төрийн өндөр албан тушаалтан эмэгтэй хүнийг хүйсээр нь басамжилсан хочоор дуудах нь эмэгтэйчүүдийн улс төрийн оролцоонд сөргөөр нөлөөлөх, хүйсээр ялгаварлан гадуурхах шинжтэй үйлдэл юм.</t>
  </si>
  <si>
    <t xml:space="preserve">Улаанбаатар хот, УИХ</t>
  </si>
  <si>
    <t xml:space="preserve">Хүйсээр ялгаварлан гадуурхагдахгүй байх эрх, нэр төрөө хамгаалуулах эрх</t>
  </si>
  <si>
    <t xml:space="preserve">Боловсролын сайд Л.Энх-Амгалан</t>
  </si>
  <si>
    <t xml:space="preserve">УИХ-ын гишүүд огцруулах шаардлага тавьж байна</t>
  </si>
  <si>
    <t xml:space="preserve">https://ikon.mn/n/3ql5</t>
  </si>
  <si>
    <t xml:space="preserve">2028.01.01-нээс хэрэгжих зохицуулалт</t>
  </si>
  <si>
    <t xml:space="preserve">Шинэ нам байгуулахад саад тавьсан зохицуулалт</t>
  </si>
  <si>
    <t xml:space="preserve">Одоогийн хуулиар 801-ээс доошгүй гишүүнтэй нам байгуулах боломжтой байгаа бол 2028.01.01-нээс эхлэн сонгуулийн эрх бүхий иргэдийн нэг хувь буюу 21-25 мянган гишүүнтэй байх шаардлага тавигдана. Энэ босго олон улсын жишгээс хэт өндөр бөгөөд шинээр үүсч буй улс төрийн хүчин, жижиг намуудын нэгдэн эвлэлдэх эрхийг бодитоор хязгаарлаж болзошгүйг нийтлэлд дурджээ.</t>
  </si>
  <si>
    <t xml:space="preserve">Эвлэлдэн нэгдэх эрх, улс төрийн нам байгуулах, төрийн удирдлагад оролцох эрх</t>
  </si>
  <si>
    <t xml:space="preserve">Хууль тогтоогч (УИХ)</t>
  </si>
  <si>
    <t xml:space="preserve">https://www.unuudur.mn/a/284038</t>
  </si>
  <si>
    <t xml:space="preserve">2026.09.19</t>
  </si>
  <si>
    <t xml:space="preserve">2026.09.18-09.22</t>
  </si>
  <si>
    <t xml:space="preserve">Сэлэнгэ аймгийн Ерөө сумын малчин айлын гэр рүү өнгөрсөн шөнө баавгай халджээ</t>
  </si>
  <si>
    <t xml:space="preserve">Сэлэнгэ аймгийн Ерөө сумын нутагт баавгай малчин айлын гэрт халдсан бөгөөд сүүлийн үед суурьшлын бүс, Улаанбаатар хотын ойр орчимд баавгай үзэгдэх тохиолдол нэмэгджээ. Байгаль орчин, уур амьсгалын өөрчлөлтийн сайд Ц.Сандаг-Очир баавгайг айлгах, унтуулах цацлага, буу Монголд огт байхгүй гэж мэдэгдсэн нь иргэдийн амь нас, аюулгүй байдлыг хамгаалах бэлэн байдал хангалтгүй байгааг харуулж байна.</t>
  </si>
  <si>
    <t xml:space="preserve">Сэлэнгэ аймгийн Ерөө сум, Улаанбаатар хотын орчим</t>
  </si>
  <si>
    <t xml:space="preserve">Амьд явах эрх, аюулгүй байх эрх</t>
  </si>
  <si>
    <t xml:space="preserve">Байгаль орчин, уур амьсгалын өөрчлөлтийн яам (бэлэн байдал хангалтгүй)</t>
  </si>
  <si>
    <t xml:space="preserve">Байгаль орчны байгууллага анхааруулга өгч, тоног төхөөрөмж импортлохоор ажиллаж байна</t>
  </si>
  <si>
    <t xml:space="preserve">https://ubn.mn/p/101129
https://ubn.mn/p/101204</t>
  </si>
  <si>
    <t xml:space="preserve">Ипотекийн зээлийн хүсэлтүүд 7-8 жил хүлээх очер үүсчээ</t>
  </si>
  <si>
    <t xml:space="preserve">Хөнгөлөлттэй ипотекийн зээлд хандсан хүсэлт 7.9 их наяд төгрөгт хүрч, 45 мянга орчим өрх зээл авахын тулд 7-8 жил хүлээх оочер үүссэн байна. Жилд олгож буй 1 их наяд орчим төгрөгийн санхүүжилт эрэлтийг хангахгүй байгаа нь орлого багатай өрхийн орон сууцтай болох боломжийг хязгаарлаж байна.</t>
  </si>
  <si>
    <t xml:space="preserve">Орон сууцтай байх эрх</t>
  </si>
  <si>
    <t xml:space="preserve">Засгийн газар, Монголбанк (бодлогын хэрэгжилт)</t>
  </si>
  <si>
    <t xml:space="preserve">News.mn</t>
  </si>
  <si>
    <t xml:space="preserve">https://news.mn/r/2889385/</t>
  </si>
  <si>
    <t xml:space="preserve">2026.09.26-10.02</t>
  </si>
  <si>
    <t xml:space="preserve">2026.09.28</t>
  </si>
  <si>
    <t xml:space="preserve">2026.09.18-09.28 (шүүх хуралдаан)</t>
  </si>
  <si>
    <t xml:space="preserve">Гэр бүлийн хүчирхийлэл үйлдсэн НИТХ-ын төлөөлөгч Б.Эрдэнэсүхэд 4 жил 6 сар хорих ял оноов</t>
  </si>
  <si>
    <t xml:space="preserve">Баянгол, Хан-Уул, Сонгинохайрхан дүүргийн Эрүүгийн хэргийн анхан шатны тойргийн шүүх НИТХ-ын төлөөлөгч Б.Эрдэнэсүхийг эхнэрээ болон насанд хүрээгүй хүүхдээ зодож гэр бүлийн хүчирхийлэл үйлдсэн, эхнэрээ мөрдөн мөшгөсөн хэрэгт гэм буруутайд тооцож, нийт 4 жил 6 сар хорих ял оногдуулан шүүх хуралдааны танхимаас цагдан хорьжээ. 2005-2020 онд эхнэрээ байнга зодсон гэх үйлдлийг шүүх хэрэгсэхгүй болгосон байна.</t>
  </si>
  <si>
    <t xml:space="preserve">Гэр бүлийн хүчирхийллээс ангид байх эрх (эмэгтэй, хүүхэд хохирогч), бие махбодын халдашгүй байх эрх</t>
  </si>
  <si>
    <t xml:space="preserve">НИТХ-ын төлөөлөгч Б.Эрдэнэсүх</t>
  </si>
  <si>
    <t xml:space="preserve">Шүүх 4 жил 6 сар хорих ял оногдуулж, шууд цагдан хорьсон</t>
  </si>
  <si>
    <t xml:space="preserve">https://ikon.mn/n/3qmw
https://ubn.mn/p/101381</t>
  </si>
  <si>
    <t xml:space="preserve">Хүчирхийлэл, бэлгийн дарамтаас ангид байх</t>
  </si>
  <si>
    <t xml:space="preserve">Эмэгтэйчүүд</t>
  </si>
  <si>
    <t xml:space="preserve">2026.09.29</t>
  </si>
  <si>
    <t xml:space="preserve">2026.09.02-09.29</t>
  </si>
  <si>
    <t xml:space="preserve">Шүүх С.Молор-Эрдэнийг суллан хилийн хориг тавьж, хэргийн оролцогчидтой уулзаж, холбоо тогтоохыг хориглолоо</t>
  </si>
  <si>
    <t xml:space="preserve">"Үндэсний эв нэгдлийг бусниулах" хэрэгт холбогдуулан 2026.09.02-ноос цагдан хоригдсон 64 настай философич С.Молор-Эрдэнэ хорих 461 дүгээр ангиас 2026.09.28-нд мэдэгдэл гаргаж, хоригдсон үндэслэл нь "ердөө л үзэл бодол" гэж үзэн, хорих нөхцөл тэсэхийн аргагүй байгааг илэрхийлжээ. Өмгөөлөгчийн гомдлоор Ерөнхий шүүгч хэрэгт цугларсан баримт, эрүүл мэндийн байдлыг харгалзан таслан сэргийлэх арга хэмжээг өөрчилж, суллан, Монгол Улсын хилээр гарах, Улаанбаатараас явах, хэргийн оролцогчидтой уулзахыг хориглосон байна.</t>
  </si>
  <si>
    <t xml:space="preserve">Улаанбаатар хот, Цагдан хорих 461 дүгээр анги</t>
  </si>
  <si>
    <t xml:space="preserve">Үзэл бодлоо илэрхийлэх эрх, халдашгүй чөлөөтэй байх эрх, цагдан хоригдсон хүний эрх</t>
  </si>
  <si>
    <t xml:space="preserve">Мөрдөн шалгах байгууллага, прокурор, шүүх</t>
  </si>
  <si>
    <t xml:space="preserve">Шүүх цагдан хорих арга хэмжээг өөрчилж суллан, хилийн хориг болон зорчих, харилцах хязгаарлалт тогтоосон</t>
  </si>
  <si>
    <t xml:space="preserve">UBN.mn, Eguur.mn</t>
  </si>
  <si>
    <t xml:space="preserve">https://ubn.mn/p/101430
https://eguur.mn/695897/</t>
  </si>
  <si>
    <t xml:space="preserve">Үзэл бодлоо илэрхийлэх, мэдээллийн эрх</t>
  </si>
  <si>
    <t xml:space="preserve">2026 оны 9 дүгээр сарын сүүл</t>
  </si>
  <si>
    <t xml:space="preserve">9000 хүний нэр барьж, 1.6 сая иргэнийг шийтгэсэн "Шөнийн марафон"</t>
  </si>
  <si>
    <t xml:space="preserve">Нийслэлд "Автомашингүй өдөр"-тэй хамт зохион байгуулсан "Шөнийн марафон"-ы үеэр хотын төвийн замуудыг 23:00 цаг хүртэл хааснаас иргэд замд олон цаг саатаж, чөлөөтэй зорчиход хүндрэл учирсан талаар шүүмжилжээ. Марафонд 9000 орчим хүн 29-100 мянган төгрөгийн хураамж төлж оролцсон гэж нийтлэлд дурджээ.</t>
  </si>
  <si>
    <t xml:space="preserve">Чөлөөтэй зорчих эрх</t>
  </si>
  <si>
    <t xml:space="preserve">Нийслэлийн Засаг даргын Тамгын газар, арга хэмжээг зохион байгуулагч компани</t>
  </si>
  <si>
    <t xml:space="preserve">Тодорхойгүй</t>
  </si>
  <si>
    <t xml:space="preserve">https://www.unuudur.mn/a/284088</t>
  </si>
  <si>
    <t xml:space="preserve">2026.09.30</t>
  </si>
  <si>
    <t xml:space="preserve">2026-2027 оны хичээлийн жилийн эхэн</t>
  </si>
  <si>
    <t xml:space="preserve">СУРВАЛЖИЛГА: Нэгдүгээр ангийн сурагчид сурах бичиггүйгээс болж багш нар өөрсдөө гарын авлага бэлдэн хичээллэхээс аргагүйд хүрчээ</t>
  </si>
  <si>
    <t xml:space="preserve">Шинэчилсэн хөтөлбөрийн дагуух нэгдүгээр ангийн сурах бичгийг хэвлэх, түгээх тендерт шаардлага хангасан оролцогч шалгараагүйн улмаас улсын хэмжээнд 74 мянга орчим нэгдүгээр ангийн сурагч хичээлийн жилийг сурах бичиггүй эхлүүлжээ. Багш нар өөрсдөө гарын авлага бэлдэж хичээллэж байна.</t>
  </si>
  <si>
    <t xml:space="preserve">Хүүхдийн сурч боловсрох эрх, боловсролын чанар, хүртээмж</t>
  </si>
  <si>
    <t xml:space="preserve">Боловсролын яам, Боловсролын ерөнхий газар</t>
  </si>
  <si>
    <t xml:space="preserve">Тендерийг дахин зарласан; 2026.10.02-ноос нэгдүгээр ангийн сурах бичгийг орон даяар тарааж эхэлсэн гэж мэдээлсэн</t>
  </si>
  <si>
    <t xml:space="preserve">https://ubn.mn/p/101477
https://eguur.mn/696399/</t>
  </si>
  <si>
    <t xml:space="preserve">Хүүхдийн тэтгэлэг төлөхөөс зайлсхийсэн иргэнийг 10 хоног баривчилжээ</t>
  </si>
  <si>
    <t xml:space="preserve">Шийдвэр гүйцэтгэх байгууллага хүүхдийн тэтгэлэг төлөхөөс зайлсхийсэн 43 настай эрэгтэй төлбөр төлөгч Э.О-д холбогдуулан зөрчил шалган шийдвэрлэх ажиллагаа явуулж, түүнд 10 хоног баривчлах, 20 цагийн албадан сургалтад хамруулах шийтгэл оногдуулжээ.</t>
  </si>
  <si>
    <t xml:space="preserve">Хүүхдийн тэтгэлэг авах, эцэг эхийн асрамж халамжид өсөж хөгжих эрх</t>
  </si>
  <si>
    <t xml:space="preserve">Төлбөр төлөгч Э.О (43 настай, эрэгтэй)</t>
  </si>
  <si>
    <t xml:space="preserve">10 хоног баривчилж, 20 цагийн албадан сургалтад хамруулах шийтгэл оногдуулсан</t>
  </si>
  <si>
    <t xml:space="preserve">Eguur.mn</t>
  </si>
  <si>
    <t xml:space="preserve">https://eguur.mn/696101/</t>
  </si>
  <si>
    <t xml:space="preserve">2022 оноос хойш</t>
  </si>
  <si>
    <t xml:space="preserve">"Хуулиар хамгаалаагүй нөхцөлд хэн ч шүгэл үлээхгүй"</t>
  </si>
  <si>
    <t xml:space="preserve">"Зөвийг шүгэлдэгчид" НҮТББ болон Монголын барилгачдын нэгдсэн холбооны төлөөлөл Шүгэл үлээгчийн эрх зүйн байдлын тухай хуулийн төслийг УИХ-ын намрын чуулганаар хэлэлцэн батлахыг шаарджээ. Хуулийн хамгаалалтгүй нөхцөлд иргэд авлига, зөрчлийн талаар мэдээлэхээс эмээж, мэдээлсэн хүн хохирч үлддэг гэж тэд үзэж байна.</t>
  </si>
  <si>
    <t xml:space="preserve">Үзэл бодлоо илэрхийлэх, мэдээлэл өгөх эрх; шүгэл үлээгчийг хамгаалах</t>
  </si>
  <si>
    <t xml:space="preserve">Засгийн газар, УИХ (хууль батлаагүй)</t>
  </si>
  <si>
    <t xml:space="preserve">https://www.unuudur.mn/a/284116</t>
  </si>
  <si>
    <t xml:space="preserve">2026 оны III улирал</t>
  </si>
  <si>
    <t xml:space="preserve">Хүрээлэн байгаа орчны эсрэг гэмт хэрэг 18.7 хувиар өсжээ</t>
  </si>
  <si>
    <t xml:space="preserve">Прокурорын байгууллага 2026 оны III улирлын байдлаар хүрээлэн байгаа орчны эсрэг 889 хэрэгт хяналт тавьсан нь өмнөх оны мөн үеэс 18.7 хувиар өссөн байна. Нийт хэргийн 79 хувийг хууль бусаар мод бэлтгэх, ашигт малтмал олборлох гэмт хэрэг эзэлж, дийлэнх нь Хөвсгөл, Сэлэнгэ, Архангай аймагт бүртгэгджээ.</t>
  </si>
  <si>
    <t xml:space="preserve">Хөвсгөл, Сэлэнгэ, Архангай аймаг</t>
  </si>
  <si>
    <t xml:space="preserve">Эрүүл, аюулгүй орчинд амьдрах эрх, байгаль орчны тэнцэл алдагдахаас хамгаалуулах эрх</t>
  </si>
  <si>
    <t xml:space="preserve">Хууль бусаар мод бэлтгэсэн, ашигт малтмал олборлосон этгээдүүд</t>
  </si>
  <si>
    <t xml:space="preserve">275 хэргийг шүүхэд шилжүүлж, 526 хүнийг яллагдагчаар татсан</t>
  </si>
  <si>
    <t xml:space="preserve">iSee.mn</t>
  </si>
  <si>
    <t xml:space="preserve">https://isee.mn/n/95628</t>
  </si>
  <si>
    <t xml:space="preserve">2026.10.01</t>
  </si>
  <si>
    <t xml:space="preserve">2026 оны 9-10 дугаар сар</t>
  </si>
  <si>
    <t xml:space="preserve">Багшийн тэтгэлгийн санхүүжилт тасарч, оюутнууд төлбөрөө өөрсдөө төлөхөд хүрчээ</t>
  </si>
  <si>
    <t xml:space="preserve">Боловсролын зээлийн сангаас олгодог багшийн тэтгэлгийн 2026 оны санхүүжилт сургуулиудын дансанд шилжээгүйгээс багш мэргэжлээр суралцаж буй 6000 гаруй оюутан сургалтын төлбөрөө өөрсдөө төлөх шаардлагатай болжээ. Гэрээнд голч дүнгийн шаардлага хангавал тэтгэлгийг үргэлжлүүлэн олгохоор заасан гэж оюутнууд үзэж, МУБИС-ийн оюутнууд 2026.10.01-нд Боловсролын зээлийн сангийн байранд жагсчээ.</t>
  </si>
  <si>
    <t xml:space="preserve">Сурч боловсрох эрх, боловсролын хүртээмж</t>
  </si>
  <si>
    <t xml:space="preserve">Боловсролын зээлийн сан, Боловсролын яам</t>
  </si>
  <si>
    <t xml:space="preserve">Боловсролын яам асуудлыг Засгийн газарт танилцуулсан, төсвийн тодотголоор шийдвэрлэнэ гэж мэдэгдсэн</t>
  </si>
  <si>
    <t xml:space="preserve">News.mn, UBN.mn</t>
  </si>
  <si>
    <t xml:space="preserve">https://news.mn/r/2890625/
https://ubn.mn/p/101503
https://ubn.mn/p/101509</t>
  </si>
  <si>
    <t xml:space="preserve">2026 он</t>
  </si>
  <si>
    <t xml:space="preserve">Хөндөх сэдэв: Ахмадууд ач зээгээ заавал харах, тэтгэврийн зээл авч өгөх албагүй. Тэд АТМ биш</t>
  </si>
  <si>
    <t xml:space="preserve">Олон улсын ахмадын өдрөөр гарсан нийтлэлүүдэд Монгол Улсын 431,619 ахмад настны 300 мянга орчим нь тэтгэврийн зээлтэй, 85 гаруй хувь нь архаг өвчтэй, 20 орчим хувь нь сэтгэл гутрал, ганцаардалд автсан талаар дурджээ. Нийслэлийн ахмад настны ердөө 7.9 хувь нь идэвхтэй амьдарч, ахмадад чиглэсэн үйлчилгээний хүртээмж хангалтгүй байна.</t>
  </si>
  <si>
    <t xml:space="preserve">Монгол Улс, Улаанбаатар хот</t>
  </si>
  <si>
    <t xml:space="preserve">Ахмад настны нийгмийн хамгаалал, тэтгэвэр авах, эрүүл мэндээ хамгаалуулах эрх</t>
  </si>
  <si>
    <t xml:space="preserve">Төрийн нийгмийн хамгааллын бодлого, гэр бүлийн гишүүд</t>
  </si>
  <si>
    <t xml:space="preserve">Eguur.mn, Өнөөдөр сонин</t>
  </si>
  <si>
    <t xml:space="preserve">https://eguur.mn/696258/
https://www.unuudur.mn/a/284136</t>
  </si>
  <si>
    <t xml:space="preserve">Нийгмийн хамгаалал, халамжийн эрх</t>
  </si>
  <si>
    <t xml:space="preserve">Долоон хүүхэд тутмын нэг нь сэтгэцийн эрүүл мэндийн асуудалтай</t>
  </si>
  <si>
    <t xml:space="preserve">ДЭМБ-ын тооцоогоор өсвөр насны долоон хүүхэд тутмын нэг нь сэтгэцийн эрүүл мэндийн ямар нэг асуудалтай бөгөөд сэтгэц, зан үйлийн өөрчлөлтийн 30 хувь нь 14 наснаас өмнө, 50 хувь нь 14-18 насанд эхэлдэг байна. Сэтгэцийн эрүүл мэндийн үндэсний төвийн эмч дунд, ахлах ангийн сурагчдад сэтгэл зүйн үнэлгээ хийж, эрсдэлийг эрт илрүүлэх шаардлагатайг онцолжээ.</t>
  </si>
  <si>
    <t xml:space="preserve">Хүүхдийн эрүүл мэндээ хамгаалуулах, сэтгэцийн эрүүл мэндийн тусламж үйлчилгээ авах эрх</t>
  </si>
  <si>
    <t xml:space="preserve">Эрүүл мэнд, боловсролын салбарын бодлого хэрэгжүүлэгч байгууллагууд</t>
  </si>
  <si>
    <t xml:space="preserve">https://www.unuudur.mn/a/284139</t>
  </si>
  <si>
    <t xml:space="preserve">2026.10.02</t>
  </si>
  <si>
    <t xml:space="preserve">Шатахууны хомсдол иргэдийг төв талбайгаа тойрон жагсахад хүргэв</t>
  </si>
  <si>
    <t xml:space="preserve">Шатахууны хомсдол, үнийн өсөлтийг эсэргүүцсэн иргэд 2026.10.01-ний 10:00 цагаас төв талбайг тойрон автомашинтай жагсаж, Төв шуудангийн уулзварыг хаажээ. Цагдаагийн байгууллага талбайн эргэн тойронд хамгаалалт гаргаж, зөвшөөрөлгүй жагсаал хийж, авто замын хөдөлгөөнд саад учруулсан гэх үндэслэлээр зарим хүнийг албадан холдуулж, Төв шуудангаас хойших замыг хаасан байна. Жагсаалд оролцсон дөрвөн хүүхдийн ээж шатахуунгүйгээс орлогогүй болж, амьжиргаа нь хүндэрснийг ярьжээ.</t>
  </si>
  <si>
    <t xml:space="preserve">Улаанбаатар хот, Сүхбаатарын талбай, Төв шуудангийн уулзвар</t>
  </si>
  <si>
    <t xml:space="preserve">Тайван жагсаал, цуглаан хийх, үзэл бодлоо илэрхийлэх эрх; амьжиргааны хангалттай түвшинд амьдрах эрх</t>
  </si>
  <si>
    <t xml:space="preserve">Засгийн газар, Аж үйлдвэр, эрдэс баялгийн яам (шатахууны хангамж); Цагдаагийн байгууллага (жагсагчдыг албадан холдуулсан)</t>
  </si>
  <si>
    <t xml:space="preserve">Цагдаа зарим жагсагчийг албадан холдуулж, зам хаасан; салбарын яам, импортлогчид 10 дугаар сарын хэрэглээг хангах шатахуун захиалсан гэж мэдэгдсэн</t>
  </si>
  <si>
    <t xml:space="preserve">Өнөөдөр сонин, iKon.mn, UBN.mn</t>
  </si>
  <si>
    <t xml:space="preserve">https://www.unuudur.mn/a/284157
https://ikon.mn/n/3qpp
https://ubn.mn/p/101496</t>
  </si>
  <si>
    <t xml:space="preserve">Чөлөөтэй зорчих, эвлэлдэн нэгдэх эрх</t>
  </si>
  <si>
    <t xml:space="preserve">Ерөнхий нийт</t>
  </si>
  <si>
    <t xml:space="preserve">2026-2027 оны хичээлийн жил</t>
  </si>
  <si>
    <t xml:space="preserve">Зургаа, долоон настнуудыг л аргацаасан хотхоны сургууль</t>
  </si>
  <si>
    <t xml:space="preserve">Нийслэлийн сургуулиудын ачааллыг бууруулах зорилгоор нээсэн хотхоны бага сургуулиудад 9000 гаруй хүүхэд суралцаж байна. Зарим нь хуучин цэцэрлэг, хувийн байранд байрлаж, спорт заал, гал тогоогүй зэрэг сургалтын орчны шаардлага хангаагүй нөхцөлд хичээллэж байгааг сурвалжилжээ.</t>
  </si>
  <si>
    <t xml:space="preserve">Хүүхдийн сурч боловсрох эрх, аюулгүй, стандартад нийцсэн сургалтын орчинд суралцах эрх</t>
  </si>
  <si>
    <t xml:space="preserve">Боловсролын яам, Нийслэлийн боловсролын газар, дүүргийн Засаг даргын Тамгын газар</t>
  </si>
  <si>
    <t xml:space="preserve">Тавилга, тоног төхөөрөмжид 5 тэрбум төгрөг төсөвлөсөн; урт хугацаанд шинэ сургууль барих шаардлагатайг албаныхан хүлээн зөвшөөрсөн</t>
  </si>
  <si>
    <t xml:space="preserve">https://www.unuudur.mn/a/284156</t>
  </si>
  <si>
    <t xml:space="preserve">2026 оны 8-10 дугаар сар</t>
  </si>
  <si>
    <t xml:space="preserve">Дуу чимээний дарангуйллыг хуулиар хязгаарлах уу</t>
  </si>
  <si>
    <t xml:space="preserve">Дуу чимээний бохирдлоос хамгаалах хуулийн төсөл боловсруулж, олон нийтээс санал авч байгаа бөгөөд 2000 гаруй иргэн саналаа ирүүлжээ. Нийтлэлд одоо мөрдөж буй стандартад дуу чимээний зөвшөөрөгдөх дээд хязгаарыг олон улсын эрүүл мэндийн зөвлөмжөөс өндөр тогтоосон нь иргэдийн эрүүл мэнд, амгалан тайван байдалд сөргөөр нөлөөлж байгааг хөндсөн байна.</t>
  </si>
  <si>
    <t xml:space="preserve">Эрүүл, аюулгүй орчинд амьдрах эрх, эрүүл мэндээ хамгаалуулах эрх</t>
  </si>
  <si>
    <t xml:space="preserve">Стандарт баталдаг болон хяналтын байгууллагууд</t>
  </si>
  <si>
    <t xml:space="preserve">Хуулийн төсөл боловсруулж, иргэдээс санал авч байна</t>
  </si>
  <si>
    <t xml:space="preserve">https://www.unuudur.mn/a/284154</t>
  </si>
  <si>
    <t xml:space="preserve">Хүүхэд, гэр бүл хүчирхийллийн 79 дуудлага бүртгэгджээ</t>
  </si>
  <si>
    <t xml:space="preserve">Цагдаагийн байгууллагын 102 тусгай дугаарт 2026.10.01-нд нийт 2434 дуудлага, мэдээлэл ирснээс 79 нь хүүхэд, гэр бүлийн хүчирхийллийн дуудлага байжээ. Мөн согтуугаар тээврийн хэрэгсэл жолоодсон 63, залилах 28, хулгайлах 23 дуудлага бүртгэгдэж, 99 иргэнийг эрүүлжүүлсэн байна.</t>
  </si>
  <si>
    <t xml:space="preserve">Гэр бүлийн хүчирхийллээс ангид байх эрх, хүүхдийн хамгаалуулах эрх</t>
  </si>
  <si>
    <t xml:space="preserve">Хүчирхийлэл үйлдэгчид</t>
  </si>
  <si>
    <t xml:space="preserve">Цагдаагийн байгууллага дуудлага, мэдээллийн дагуу ажилласан</t>
  </si>
  <si>
    <t xml:space="preserve">https://isee.mn/n/95676</t>
  </si>
  <si>
    <t xml:space="preserve">2026.10.03-10.10</t>
  </si>
  <si>
    <t xml:space="preserve">2026.10.05</t>
  </si>
  <si>
    <t xml:space="preserve">Цалинг нь нэмэхгүй бол 10 мянга орчим эмч, эмнэлгийн ажилтан ажил хаяхад бэлэн хэмээн гарын үсэг зуржээ</t>
  </si>
  <si>
    <t xml:space="preserve">Эрүүл мэндийн ажилтнуудын үйлдвэрчний эвлэлийн холбооноос 10 мянга орчим эмч, эмнэлгийн ажилтны гарын үсэг цуглуулж, ажил хаях бэлтгэлтэй байгаагаа мэдэгджээ. 2026 онд цалинг 75 хувь нэмэх тохиролцооны 30 хувийг хэрэгжүүлсэн ч үлдсэн 45 хувийг 8 дугаар сарын 1-нээс сар бүр нэмэх ёстойг хэрэгжүүлээгүй, мөн хөдөлмөрийн хөлсний доод хэмжээг (792 мянган төгрөг) 26.3 хувиар нэмэх Үндэсний хорооны шийдвэрийг төсөвт тусгаагүй гэж шүүмжилжээ.</t>
  </si>
  <si>
    <t xml:space="preserve">Хөдөлмөрлөх эрх, шударга цалин хөлс авах эрх, ажил хаях эрх</t>
  </si>
  <si>
    <t xml:space="preserve">Засгийн газар, Эрүүл мэндийн яам</t>
  </si>
  <si>
    <t xml:space="preserve">Засгийн газар, Гурван талт үндэсний хороо, УИХ хариу өгөөгүй гэж мэдээлсэн</t>
  </si>
  <si>
    <t xml:space="preserve">https://eguur.mn/696821/</t>
  </si>
  <si>
    <t xml:space="preserve">Ажилчид, хөдөлмөр эрхлэгчид</t>
  </si>
  <si>
    <t xml:space="preserve">Хамгаалалттай бүс дэх "хаалттай" хулгай</t>
  </si>
  <si>
    <t xml:space="preserve">Улсын нутгийн 21 хувийг эзэлдэг тусгай хамгаалалттай газруудын (Богд хан уул, Горхи-Тэрэлж, Хөвсгөл нуур, Отгонтэнгэр зэрэг) хязгаарлалтын бүсэд аялал жуулчлалын зориулалтаар олон давхар байр, хаус хороолол барьж, даацаас хэтрүүлэн ашиглаж байгааг судлаачид анхааруулжээ. Хамгаалалтын захиргааны төсвийн 80-90 хувь нь цалин, урсгал зардалд зарцуулагдаж, байгаль хамгаалалд хүрэлцэхгүй байна.</t>
  </si>
  <si>
    <t xml:space="preserve">Богд хан уул, Горхи-Тэрэлж, Хөвсгөл, Отгонтэнгэрийн тусгай хамгаалалттай газар</t>
  </si>
  <si>
    <t xml:space="preserve">Тусгай хамгаалалттай газрын эрх бүхий албан тушаалтнууд, газар ашиглагчид</t>
  </si>
  <si>
    <t xml:space="preserve">УИХ-ын зарим гишүүд хууль шинэчлэх санал гаргасан</t>
  </si>
  <si>
    <t xml:space="preserve">https://www.unuudur.mn/a/284177</t>
  </si>
  <si>
    <t xml:space="preserve">2026.10.06</t>
  </si>
  <si>
    <t xml:space="preserve">2026.05.19-нөөс хойш</t>
  </si>
  <si>
    <t xml:space="preserve">Өрөөнд камер тавьсан, хэрэгт цэг тавиагүй | 19 настай цэрэг амиа алдаад 141 хоног өнгөрлөө</t>
  </si>
  <si>
    <t xml:space="preserve">Баянхонгор аймаг дахь Зэвсэгт хүчний Барилгын цэргийн 339 дүгээр ангийн камергүй өрөөнд 2026.05.19-нд 19 настай цэрэг бусдад зодуулж амиа алдсан бөгөөд шүүх шинжилгээний дүгнэлтээр мохоо зүйлээр цохиж амь насыг нь хөнөөсөн гэж тогтоожээ. Сэжигтэн цагдан хоригдож байгаа ч хэрэг 141 хоногийн дараа прокурор, шүүхэд шилжээгүй, ангийн удирдлагад хариуцлага тооцоогүй байна.</t>
  </si>
  <si>
    <t xml:space="preserve">Баянхонгор аймаг, Барилгын цэргийн 339 дүгээр анги</t>
  </si>
  <si>
    <t xml:space="preserve">Амьд явах эрх, бие махбодын халдашгүй байх эрх, цэргийн алба хаагчийн эрх, шударга шүүхээр шүүлгэх эрх</t>
  </si>
  <si>
    <t xml:space="preserve">Хүчирхийлэл үйлдсэн этгээд; цэргийн ангийн удирдлага, Батлан хамгаалахын яам</t>
  </si>
  <si>
    <t xml:space="preserve">Сэжигтэн цагдан хоригдсон; Батлан хамгаалахын сайд шат шатанд хариуцлага тооцно гэж мэдэгдсэн</t>
  </si>
  <si>
    <t xml:space="preserve">https://eguur.mn/697024/</t>
  </si>
  <si>
    <t xml:space="preserve">Амьд явах, халдашгүй байх эрх</t>
  </si>
  <si>
    <t xml:space="preserve">2026 оны 1-5 дугаар сар</t>
  </si>
  <si>
    <t xml:space="preserve">ЭМДС-гийн өр улсын эмнэлгүүдэд шилжиж, бүсээ чангалахад хүргэв үү</t>
  </si>
  <si>
    <t xml:space="preserve">Эрүүл мэндийн даатгалын сангийн санхүүжилт хүрэлцэхгүйгээс 2026 оны эхний таван сарын байдлаар улсын эмнэлгүүдийн өр 239.9 тэрбум төгрөгт хүрч, үүний 124.1 тэрбум нь эм, бэлдмэлийн өр байна. Эмнэлгүүд эм, урвалж, тусламж үйлчилгээгээ багасгаж, иргэд хувийн эмнэлэгт шилжих эсвэл өндөр төлбөр төлөхөд хүрч байна.</t>
  </si>
  <si>
    <t xml:space="preserve">Монгол Улс (улсын төв эмнэлгүүд, аймаг, нийслэлийн нэгдсэн эмнэлгүүд)</t>
  </si>
  <si>
    <t xml:space="preserve">Эрүүл мэндээ хамгаалуулах, эмнэлгийн тусламж үйлчилгээ авах эрх</t>
  </si>
  <si>
    <t xml:space="preserve">Эрүүл мэндийн яам, Эрүүл мэндийн даатгалын ерөнхий газар</t>
  </si>
  <si>
    <t xml:space="preserve">Зарим эмнэлэг өрөө бууруулах төлөвлөгөө боловсруулж байна</t>
  </si>
  <si>
    <t xml:space="preserve">https://www.unuudur.mn/a/284202</t>
  </si>
  <si>
    <t xml:space="preserve">Өвчтөн, эмчлүүлэгч</t>
  </si>
  <si>
    <t xml:space="preserve">2026.10.07</t>
  </si>
  <si>
    <t xml:space="preserve">2021-2026 он</t>
  </si>
  <si>
    <t xml:space="preserve">Эмнэлгүүд халдварын голомт болсоор байна</t>
  </si>
  <si>
    <t xml:space="preserve">Эмнэлгийн дотоод халдварын асуудал хурцаар тавигдсаар байгаа бөгөөд 2025 оны сүүлээс 2026 оны 1 дүгээр сар хүртэлх улаанбурханы дэгдэлтийн үед нийслэлийн тохиолдлын 50 гаруй хувь нь эмнэлгийн орчинд халдварласан гэж ХӨСҮТ мэдээлжээ. Хувийн эмнэлэгт халдвар авч хүнд хохирол амссан тохиолдлыг иргэд мэдээлж, тусгаарлалт, орны ачаалал, ариутгалыг сайжруулах, нөхөн төлбөрийн механизм бүрдүүлэх шаардлагатай гэж дурджээ.</t>
  </si>
  <si>
    <t xml:space="preserve">Эрүүл мэндээ хамгаалуулах, аюулгүй, чанартай эмнэлгийн тусламж авах эрх</t>
  </si>
  <si>
    <t xml:space="preserve">Эмнэлгүүд, Эрүүл мэндийн яам, Нийслэлийн эрүүл мэндийн газар</t>
  </si>
  <si>
    <t xml:space="preserve">ЭМЯ, Нийслэлийн эрүүл мэндийн газар хүүхдийн ортой 23 эмнэлгийн халдвараас сэргийлэх ажилд хяналт тавьсан</t>
  </si>
  <si>
    <t xml:space="preserve">https://www.unuudur.mn/a/284221</t>
  </si>
  <si>
    <t xml:space="preserve">Гадаад улсын зарим иргэний холбогдсон гэмт хэрэг (УИХ-ын Хууль зүйн байнгын хорооны ерөнхий хяналтын сонсгол)</t>
  </si>
  <si>
    <t xml:space="preserve">УИХ-ын Хууль зүйн байнгын хорооны ерөнхий хяналтын сонсголоор Жеффри Эпштейнтэй холбоотой гадаадын мэдээлэлд Монгол Улсын нэр дурдагдсан асуудал болон "Өнөр бүл" төвөөс гадаадад гарсан хүүхдүүдийн асуудлыг хэлэлцжээ. Шинжээч 22 хүүхэд, төвийн захирал 26 хүүхэд явсан гэж мэдээлсэн бол цагдаагийн байгууллага хүүхэд гэмт хэргийн хохирогч болсон тохиолдол тогтоогдоогүй гэж хариулсан бөгөөд шинжээчийн дурдсан бэлгийн дарамтын талаар баталгаатай нотолгоо гараагүй байна.</t>
  </si>
  <si>
    <t xml:space="preserve">Монгол Улс; гадаад улс</t>
  </si>
  <si>
    <t xml:space="preserve">Хүүхдийн эрх, хүүхдийг мөлжлөг, бэлгийн хүчирхийллээс хамгаалах, хүүхэд үрчлэлтийн хяналт</t>
  </si>
  <si>
    <t xml:space="preserve">Тодорхойгүй (шалгагдаж байна)</t>
  </si>
  <si>
    <t xml:space="preserve">УИХ-ын Хүний эрхийн дэд хороо ажлын хэсэг байгуулж хяналт шалгалт хийхээр болсон</t>
  </si>
  <si>
    <t xml:space="preserve">Medee.mn</t>
  </si>
  <si>
    <t xml:space="preserve">https://medee.mn/p/200499</t>
  </si>
  <si>
    <t xml:space="preserve">Хүүхдийн эрх</t>
  </si>
  <si>
    <t xml:space="preserve">Хүүхэд</t>
  </si>
  <si>
    <t xml:space="preserve">2026.10.08</t>
  </si>
  <si>
    <t xml:space="preserve">СЭРЭМЖЛҮҮЛЭГ: Гурван настай хүүхэд шонгийн унжсан утсанд түлэгдэж, гэмтсэн хэрэг гарчээ</t>
  </si>
  <si>
    <t xml:space="preserve">Сонгинохайрхан дүүргийн 36 дугаар хороонд айлын хашааны үүдэнд унжиж байсан цахилгааны утсанд гурван настай хүүхэд гадаа тоглож байхдаа хүрч, гартаа түлэгдэж эмнэлгийн тусламж авч байна. Мэргэжлийн байгууллага утсыг дараа нь аюулгүй болгож, шон руу татсан байна.</t>
  </si>
  <si>
    <t xml:space="preserve">Улаанбаатар хот, Сонгинохайрхан дүүргийн 36 дугаар хороо</t>
  </si>
  <si>
    <t xml:space="preserve">Хүүхдийн амьд явах, аюулгүй орчинд байх эрх</t>
  </si>
  <si>
    <t xml:space="preserve">Цахилгаан дамжуулах шугамыг хариуцсан байгууллага</t>
  </si>
  <si>
    <t xml:space="preserve">Утсыг аюулгүй болгосон</t>
  </si>
  <si>
    <t xml:space="preserve">https://isee.mn/n/95902</t>
  </si>
  <si>
    <t xml:space="preserve">2025 он</t>
  </si>
  <si>
    <t xml:space="preserve">Хөхний хорт хавдраар гурав хоног тутамд нэг хүн нас барж байна</t>
  </si>
  <si>
    <t xml:space="preserve">Үндэсний статистикийн хорооны мэдээгээр 2025 оны эцсийн байдлаар 2882 хүн хөхний хорт хавдраар оношлогдсон бөгөөд жилд дунджаар 100 гаруй хүн нас барж, сүүлийн таван жилд 515 хүн нас баржээ. Өвчлөгчдийн олонх нь хожуу шатанд оношлогдож байгааг ХСҮТ анхааруулжээ.</t>
  </si>
  <si>
    <t xml:space="preserve">Эрүүл мэндээ хамгаалуулах, эрт илрүүлэг, эмнэлгийн тусламж авах эрх</t>
  </si>
  <si>
    <t xml:space="preserve">Эрүүл мэндийн байгууллагууд (эрт илрүүлгийн хүртээмж)</t>
  </si>
  <si>
    <t xml:space="preserve">ХСҮТ эмэгтэйчүүдийг хоёр жил тутам маммографи, ЭХО шинжилгээнд хамрагдахыг уриалсан</t>
  </si>
  <si>
    <t xml:space="preserve">https://www.unuudur.mn/a/284241</t>
  </si>
  <si>
    <t xml:space="preserve">Эрүүл мэндийн эрх</t>
  </si>
  <si>
    <t xml:space="preserve">2026.10.09</t>
  </si>
  <si>
    <t xml:space="preserve">2026.10.07-08-ны шөнө</t>
  </si>
  <si>
    <t xml:space="preserve">Хариуцсан яам нь харж суусаар иргэнээ эндэхэд хүргэлээ</t>
  </si>
  <si>
    <t xml:space="preserve">Баянзүрх дүүргийн 35 дугаар хороо, Улиастайн Бурхантын аманд 2026.10.08-ны 01:00 цагийн үед баавгай айлын гэрт дайрч, 40 настай эрэгтэй амиа алдаж, 55 настай эмэгтэй хүнд гэмтэж ГССҮТ-д эмчлүүлж байна. Энэ онд суурьшлын бүсэд баавгай орж ирсэн 754 дуудлага бүртгэгдсэн ч холбогдох яам, байгууллагууд урьдчилан сэргийлэх арга хэмжээг хойрго авсан, унтуулгын буу зэрэг хэрэгсэл бэлэн байгаагүй гэж шүүмжилжээ.</t>
  </si>
  <si>
    <t xml:space="preserve">Улаанбаатар хот, Баянзүрх дүүргийн 35 дугаар хороо</t>
  </si>
  <si>
    <t xml:space="preserve">Байгаль орчин, уур амьсгалын өөрчлөлтийн яам, Нийслэлийн Байгаль орчны газар (урьдчилан сэргийлэх арга хэмжээ хангалтгүй)</t>
  </si>
  <si>
    <t xml:space="preserve">Баавгайг олж устгасан; 1.8 тэрбум төгрөгийн нөөц гаргуулах, 27 баавгай агнах зөвшөөрөл олгох, эргүүл хяналт нэмэгдүүлэх шийдвэр гарсан</t>
  </si>
  <si>
    <t xml:space="preserve">Өнөөдөр сонин, Eguur.mn</t>
  </si>
  <si>
    <t xml:space="preserve">https://www.unuudur.mn/a/284263
https://eguur.mn/697199/</t>
  </si>
  <si>
    <t xml:space="preserve">2017 он - 2026.10.06</t>
  </si>
  <si>
    <t xml:space="preserve">10 жил хүлээсэн ээж охиныхоо хэрэгт шүүх "Бороо буруутай" гэсэн шийдвэр гаргажээ</t>
  </si>
  <si>
    <t xml:space="preserve">2017 онд 22 настай А.Сондор ажлын байрныхаа ойролцоо 380 кВт-ын цахилгаанд цохиулж нас барсан хэрэг долоон жил үргэлжилж, прокурорт хэд хэдэн удаа буцаагдаж, шүүх хурал 16 удаа хойшилжээ. 2026.10.06-нд анхан шатны шүүх "Их бүрд"-ийн захирлыг буруугүй гэж үзэж, осолд байгалийн хүчин зүйл нөлөөлсөн гэж шийдвэрлэсэн бөгөөд ээж нь цахилгаан түгээх байгууллага болон холбогдох албаныхныг хариуцлагатай гэж үзэж байна.</t>
  </si>
  <si>
    <t xml:space="preserve">Шударга шүүхээр шүүлгэх, хохирлоо барагдуулах эрх, хэргийг хугацаанд нь шийдвэрлүүлэх эрх</t>
  </si>
  <si>
    <t xml:space="preserve">Мөрдөн шалгах байгууллага, прокурор, шүүх (хэрэг удаашралтай); цахилгааны шугамыг хариуцсан байгууллагууд</t>
  </si>
  <si>
    <t xml:space="preserve">Анхан шатны шүүх шүүгдэгчийг буруугүй гэж шийдвэрлэсэн</t>
  </si>
  <si>
    <t xml:space="preserve">https://isee.mn/n/95951</t>
  </si>
  <si>
    <t xml:space="preserve">Шударга шүүхээр шүүлгэх эрх</t>
  </si>
  <si>
    <t xml:space="preserve">2026.10.02-10.05</t>
  </si>
  <si>
    <t xml:space="preserve">Б.Баатарыг яллах үндэслэлд Ерөнхийлөгч У.Хүрэлсүхийн нэр хүндийг унагах пост нийтэлсэн агуулга дурдагджээ</t>
  </si>
  <si>
    <t xml:space="preserve">"Херо энтертайнмент"-ийн захирал Б.Баатарыг Эрүүгийн хуулийн 19.9 дүгээр зүйлийн 1 дэх хэсэг ("Үндэсний эв нэгдлийг бусниулах")-т холбогдуулан яллаж байгаа бөгөөд яллах үндэслэлд Ерөнхийлөгчийн хөрөнгө гэх барилгуудын зураг ашиглан фэйсбүүкт пост нийтэлсэн агуулга дурдагджээ. Шүүгч 2026.10.02-нд цагдан хорих саналыг хүлээн аваагүй боловч прокурорын гомдлоор Ерөнхий шүүгч 2026.10.05-нд нэг сар цагдан хорих шийдвэр гаргасан бөгөөд өмгөөлөгч нь гомдол гаргажээ.</t>
  </si>
  <si>
    <t xml:space="preserve">Үзэл бодлоо илэрхийлэх, мэдээлэл түгээх эрх, халдашгүй чөлөөтэй байх эрх</t>
  </si>
  <si>
    <t xml:space="preserve">Прокурор, шүүх</t>
  </si>
  <si>
    <t xml:space="preserve">Нэг сарын хугацаагаар цагдан хорьсон; өмгөөлөгч гомдол гаргасан</t>
  </si>
  <si>
    <t xml:space="preserve">https://eguur.mn/697496/
https://eguur.mn/696888/</t>
  </si>
  <si>
    <t xml:space="preserve">Хоригдол, саатуулагдсан хүн</t>
  </si>
  <si>
    <t xml:space="preserve">ФОТО: Хөгжлийн бэрхшээлтэй иргэдийн төлөөлөл Төв талбайд жагсаж, Т.Аубакир сайдыг огцруулахыг шаардаж байна</t>
  </si>
  <si>
    <t xml:space="preserve">Хөгжлийн бэрхшээлтэй иргэдийн төлөөлөл Сүхбаатарын талбайд жагсаж, Гэр бүл, хөдөлмөр, нийгмийн хамгааллын сайд Т.Аубакирыг огцруулахыг Ерөнхий сайдаас шаарджээ. Тэд сайд хөгжлийн бэрхшээлтэй иргэдийн тэтгэвэр, тэтгэмжийг нэмэгдүүлэх саналын эсрэг байр суурь илэрхийлсэн, нийгмийн хамгааллын хууль тогтоомжийг хэрэгжүүлэхгүй байна гэж үзэж, тэтгэвэр, тэтгэмжийг нэмэгдүүлэхийг шаардсан байна.</t>
  </si>
  <si>
    <t xml:space="preserve">Улаанбаатар хот, Сүхбаатарын талбай</t>
  </si>
  <si>
    <t xml:space="preserve">Хөгжлийн бэрхшээлтэй иргэдийн нийгмийн хамгаалал, тэтгэвэр, тэтгэмж авах эрх; тайван жагсаал хийх эрх</t>
  </si>
  <si>
    <t xml:space="preserve">Гэр бүл, хөдөлмөр, нийгмийн хамгааллын яам, Засгийн газар</t>
  </si>
  <si>
    <t xml:space="preserve">УИХ-ын гишүүний мэдээлснээр Ерөнхий сайд иргэдийн саналыг хүлээн авна гэсэн; албан ёсны хариу мэдээлэгдээгүй</t>
  </si>
  <si>
    <t xml:space="preserve">https://ikon.mn/n/3qwm</t>
  </si>
  <si>
    <t xml:space="preserve">Хөгжлийн бэрхшээлтэй иргэд</t>
  </si>
  <si>
    <t xml:space="preserve">2017 оны 4 дүгээр сар (хэрэг); 2026 оны 10 дугаар сар</t>
  </si>
  <si>
    <t xml:space="preserve">Найз охиноо 28 удаа хутгалж, хөнөөсөн ялтныг АН-ын гишүүн шоронгоос суллахыг завдаж байна</t>
  </si>
  <si>
    <t xml:space="preserve">2017 оны 4 дүгээр сард Баянгол дүүрэгт найз охиноо 28 удаа хутгалж амь насыг нь хөнөөсөн хэргээр 20 жилийн хорих ял авч, 427 дугаар ангид ял эдэлж буй ялтныг хугацаанаас нь өмнө суллуулахаар АН-ын нэр бүхий гишүүн нөлөөлөхийг оролдож байна гэж мэдээлжээ. Хохирогчийн ар гэр гомдолтой байгаа бөгөөд холбогдох байгууллагын тайлбар мэдээлэгдээгүй байна.</t>
  </si>
  <si>
    <t xml:space="preserve">Улаанбаатар хот, Шүүхийн шийдвэр гүйцэтгэх 427 дугаар анги</t>
  </si>
  <si>
    <t xml:space="preserve">Хохирогчийн шударга ёсыг эдлэх эрх, эмэгтэйчүүдийн хүчирхийллээс ангид байх эрх, хуулийн өмнө тэгш байх</t>
  </si>
  <si>
    <t xml:space="preserve">Ялтныг суллуулахаар нөлөөлж буй гэх улс төрч</t>
  </si>
  <si>
    <t xml:space="preserve">https://news.zindaa.mn/5dai</t>
  </si>
  <si>
    <t xml:space="preserve">2026.10.10</t>
  </si>
  <si>
    <t xml:space="preserve">2026.10.09-10</t>
  </si>
  <si>
    <t xml:space="preserve">Сэтгүүлч А.Шинэбаярыг 48 цагийн хугацаатай баривчилжээ</t>
  </si>
  <si>
    <t xml:space="preserve">Dens.mn сайтын эрхлэгч, сэтгүүлч А.Шинэбаярыг 48 цагийн хугацаатай баривчилж, Цагдан хорих 461 дүгээр ангид хорьжээ. Ерөнхийлөгчийн Тамгын газрын Хэвлэл мэдээлэл, олон нийттэй харилцах хэлтсийн дарга Ц.Ганзориг түүнийг бусдаас их хэмжээний зүйл нэхсэн байж болзошгүй гэж цагдаад хандсан бол А.Шинэбаяр гүтгэлэг гэж няцаажээ. Ямар хуулийн заалтаар баривчилсныг албан ёсоор мэдээлээгүй байна.</t>
  </si>
  <si>
    <t xml:space="preserve">Үзэл бодлоо илэрхийлэх, хэвлэн нийтлэх эрх чөлөө, халдашгүй чөлөөтэй байх эрх</t>
  </si>
  <si>
    <t xml:space="preserve">Цагдаагийн байгууллага</t>
  </si>
  <si>
    <t xml:space="preserve">48 цагийн хугацаатай баривчилсан</t>
  </si>
  <si>
    <t xml:space="preserve">UBN.mn, iSee.mn, News.mn</t>
  </si>
  <si>
    <t xml:space="preserve">https://ubn.mn/articles/6ac9ab40a0d46666f9717902
https://isee.mn/n/95960
https://news.mn/r/2892160/</t>
  </si>
  <si>
    <t xml:space="preserve">Сэтгүүлч, хүний эрхийн хамгаалагч</t>
  </si>
  <si>
    <t xml:space="preserve">Т.Аубакир: Архи уучихаад настай аав ээжийгээ зодож нүддэг, тэтгэврийн зээл авахуулдаг тохиолдол ч байна</t>
  </si>
  <si>
    <t xml:space="preserve">Гэр бүл, хөдөлмөр, нийгмийн хамгааллын сайд Т.Аубакир 2026.10.09-нд УИХ-ын чуулганаар "Гэр бүлийн хөгжлийг дэмжих тухай" хуулийн төслийг хэлэлцэх үеэр архидан согтуурч настай эцэг эхээ зодох, тэдэнд тэтгэврийн зээл авахуулах тохиолдол гарч байгааг дурджээ. Архидалтаас үүдэлтэй гэр бүлийн хүчирхийллийг нэг яам дангаар шийдэх боломжгүй бөгөөд хүчирхийллийг илрүүлж, хариу арга хэмжээ авах 730 гаруй нийгмийн ажилтан ажиллаж байгаа гэжээ.</t>
  </si>
  <si>
    <t xml:space="preserve">Ахмад настны хүчирхийллээс ангид байх эрх, гэр бүлийн хүчирхийллээс ангид байх эрх, өмчлөх эрх (тэтгэврийн зээл)</t>
  </si>
  <si>
    <t xml:space="preserve">Ахмад настныг хүчирхийлж буй гэр бүлийн гишүүд</t>
  </si>
  <si>
    <t xml:space="preserve">Гэр бүлийн хөгжлийг дэмжих тухай хуулийн төслийг УИХ хэлэлцэж байна</t>
  </si>
  <si>
    <t xml:space="preserve">Zarig.mn</t>
  </si>
  <si>
    <t xml:space="preserve">https://zarig.mn/1jes</t>
  </si>
  <si>
    <t xml:space="preserve">Ахмад настан</t>
  </si>
  <si>
    <t xml:space="preserve">ЕБС-ийн 5-р ангийн "Монгол ёс, хүмүүжил" хичээлийн сурах бичигт тэргэнцэртэй хүүхдийг ялгавартай зуржээ</t>
  </si>
  <si>
    <t xml:space="preserve">NTV телевизийн мэдээнд ЕБС-ийн 5 дугаар ангийн "Монгол ёс, хүмүүжил" хичээлийн сурах бичигт тэргэнцэртэй хүүхдийг ялгавартай байдлаар дүрсэлсэн нь олны бухимдлыг төрүүлж байгааг мэдээлжээ. Хөгжлийн бэрхшээлтэй хүн бусадтай тэгш хамран суралцах тухай хууль байгаа ч сурах бичгийн зураг үүнтэй зөрчилдөж байна гэж иргэд шүүмжилсэн. Хэвлэлийн компанийн удирдлага Боловсролын яам эцсийн байдлаар хянах боломж олгоогүй гэж мэдэгджээ.</t>
  </si>
  <si>
    <t xml:space="preserve">Хөгжлийн бэрхшээлтэй хүүхдийн ялгаварлан гадуурхалтаас ангид байх, тэгш хамран суралцах эрх</t>
  </si>
  <si>
    <t xml:space="preserve">Боловсролын яам; сурах бичгийг хэвлэж, зурж бэлтгэсэн байгууллагууд</t>
  </si>
  <si>
    <t xml:space="preserve">NTV (Facebook)</t>
  </si>
  <si>
    <t xml:space="preserve">https://www.facebook.com/share/v/1CtTZSEJ39/?mibextid=wwXIfr</t>
  </si>
  <si>
    <t xml:space="preserve">Ялгаварлан гадуурхалтаас ангид байх, тэгш эрх</t>
  </si>
  <si>
    <t xml:space="preserve">Олон улсын</t>
  </si>
  <si>
    <t xml:space="preserve">2026.04.13</t>
  </si>
  <si>
    <t xml:space="preserve">Sudan: Top UN aid official warns of ‘abandoned crisis’ as war enters fourth year</t>
  </si>
  <si>
    <t xml:space="preserve">Суданы дайн 4 дэх жилдээ үргэлжилж, энгийн иргэд амь үрэгдэж, дүрвэж, бэлгийн хүчирхийлэл их байгаа талаар Судан дахь НҮБ-ын хүмүүнлэгийн зохицуулагч Denise Brown мэдээлжээ.</t>
  </si>
  <si>
    <t xml:space="preserve">Судан улс: Хартум, Дарфур хот</t>
  </si>
  <si>
    <t xml:space="preserve">Амьд явах, халдашгүй чөлөөтэй байх эрх</t>
  </si>
  <si>
    <t xml:space="preserve">Засгийн газар ба мөргөлдөгч тал</t>
  </si>
  <si>
    <t xml:space="preserve">UN news </t>
  </si>
  <si>
    <t xml:space="preserve">Sudan: Top UN aid official warns of ‘abandoned crisis’ as war enters fourth year | UN News</t>
  </si>
  <si>
    <t xml:space="preserve">2026.02.28-аас хойш</t>
  </si>
  <si>
    <t xml:space="preserve">‘Clock is ticking’: Hormuz disruption raises fears of global food crisis</t>
  </si>
  <si>
    <t xml:space="preserve">АНУ болон Ираны мөргөлдөөний улмаас газрын тос, хий дамждаг гол тээврийн зам болох Ормузын хоолой хаагдах эрсдэл үүссэн.</t>
  </si>
  <si>
    <t xml:space="preserve">Иран ба Оман улсын дунд байрладаг олон улсын усан тээврийн хоолой /international strait/</t>
  </si>
  <si>
    <t xml:space="preserve">Улс орны эдийн засаг</t>
  </si>
  <si>
    <t xml:space="preserve">АНУ болон Ираны дайн</t>
  </si>
  <si>
    <t xml:space="preserve">‘Clock is ticking’: Hormuz disruption raises fears of global food crisis | UN News</t>
  </si>
  <si>
    <t xml:space="preserve">Tech gaps and budget cuts threaten global efforts to track and help the vulnerable</t>
  </si>
  <si>
    <t xml:space="preserve">Технологийн цоорхой болон санхүүжилтийн хомсдол нь дэлхий даяарх эмзэг бүлгийн хүмүүст шаардлагатай  тусламж үзүүлэхэд саад хийж байна.</t>
  </si>
  <si>
    <t xml:space="preserve">Нигери улс</t>
  </si>
  <si>
    <t xml:space="preserve">Эмзэг бүлгийн хүмүүсийн эрх</t>
  </si>
  <si>
    <t xml:space="preserve">Tech gaps and budget cuts threaten global efforts to track and help the vulnerable | UN News</t>
  </si>
  <si>
    <t xml:space="preserve">2026.03 сараас хойш</t>
  </si>
  <si>
    <t xml:space="preserve">MIDDLE EAST LIVE 15 April: Civilian dangers intensify as Israel expands Lebanon evacuation orders</t>
  </si>
  <si>
    <t xml:space="preserve">Израйлийн цэргийн ажиллагаа Ливан улсад үргэлжилсээр байгаагаас үүдэн олон Ливан иргэд амь үрэгдэж байна. </t>
  </si>
  <si>
    <t xml:space="preserve">Ливан улс</t>
  </si>
  <si>
    <t xml:space="preserve">Израйль</t>
  </si>
  <si>
    <t xml:space="preserve">https://news.un.org/en/story/2026/04/1167302</t>
  </si>
  <si>
    <t xml:space="preserve">2026.04.17</t>
  </si>
  <si>
    <t xml:space="preserve">The Epstein files: Rights experts demand accountability, call for probe into trafficking allegations</t>
  </si>
  <si>
    <t xml:space="preserve">НҮБ-ын хүний эрхийн хараат бус экспертүүд “Эпштейний файлууд”-д дурдагдсан зохион байгуулалттай хүний наймааны хэрэгт хариуцлага тооцохыг уриаллаа.</t>
  </si>
  <si>
    <t xml:space="preserve">Женев хот, Швейцар улс</t>
  </si>
  <si>
    <t xml:space="preserve">Халдашгүй чөлөөтэй байх эрх</t>
  </si>
  <si>
    <t xml:space="preserve">Жеффри Эпштэйн болон хамаарал бүхий хүмүүс</t>
  </si>
  <si>
    <t xml:space="preserve">https://news.un.org/en/story/2026/04/1167314
https://www.ohchr.org/en/press-releases/2026/04/un-experts-demand-accountability-trafficking-allegations-epstein-files-warn </t>
  </si>
  <si>
    <t xml:space="preserve">Sex Testing All Women Athletes is a Discriminatory Rights Violation</t>
  </si>
  <si>
    <t xml:space="preserve">Спортын байгууллагууд тестостерон дааврын хэмжээ ердийн хүнийхээс өндөр байдаг эмэгтэйчүүдийг спортод оруулдаг гэж үзэн, Олон улсын олимпын хорооноос эмэгтэй тамирчдыг генетикийн хүйсийн шинжилгээнд хамруулахаа мэдэгдэв. Энэ нь "эмэгтэй" гэх ангиллыг хамгаалах зорилготой гэх боловч хүнийг хүйсээр ялгаварлан гадуурхсан, шинжлэх ухаанаар нотлогдоогүй шийдвэр ажээ.</t>
  </si>
  <si>
    <t xml:space="preserve">Ялгаварлан гадуурхалтаас ангид байх, халдашгүй чөлөөтэй байх</t>
  </si>
  <si>
    <t xml:space="preserve">Олон улсын олимпын хороо</t>
  </si>
  <si>
    <t xml:space="preserve">Human rights watch</t>
  </si>
  <si>
    <t xml:space="preserve">https://www.hrw.org/news/2026/04/13/sex-testing-all-women-athletes-is-a-discriminatory-rights-violation
https://www.olympics.com/ioc/news/international-olympic-committee-announces-new-policy-on-the-protection-of-the-female-women-s-category-in-olympic-sport</t>
  </si>
  <si>
    <t xml:space="preserve">Andrea Bolaños Vargas appointed UN Special Rapporteur on the situation of human rights defenders by the UN Human Rights Council</t>
  </si>
  <si>
    <t xml:space="preserve">Хүний эрх хамгаалагчдын асуудлаарх НҮБ-ын тусгай илтгэгчээр Andrea Bolaños Vargas томилогджээ.</t>
  </si>
  <si>
    <t xml:space="preserve">civicus</t>
  </si>
  <si>
    <t xml:space="preserve">https://www.civicus.org/index.php/media-resources/news/8253-andrea-bolanos-vargas-appointed-un-special-rapporteur-on-the-situation-of-human-rights-defenders-by-the-un-human-rights-council
</t>
  </si>
  <si>
    <t xml:space="preserve">Туркийн сургуульд хоёр өдрийн дотор гарсан хоёр дахь зэвсэгт халдлагын үеэр есөн хүн амиа алджээ</t>
  </si>
  <si>
    <t xml:space="preserve">Турк улсын өмнөд хэсэгт оршдог ерөнхий боловсролын сургуульд өчигдөр зэвсэгт халдлага гарсны улмаас найман сурагч, нэг багш алагдаж, хэд хэдэн хүн шархадсан тухай тус улсын дотоод хэргийн сайд Мустафа Чифчи мэдээлжээ.</t>
  </si>
  <si>
    <t xml:space="preserve">Турк улсын Кахраманмараш мужийн Айсер Чалик сургууль</t>
  </si>
  <si>
    <t xml:space="preserve">Халдлагыг 14 настай хүүхэд үйлджээ.</t>
  </si>
  <si>
    <t xml:space="preserve">IKON</t>
  </si>
  <si>
    <t xml:space="preserve">https://ikon.mn/n/3mtg </t>
  </si>
  <si>
    <t xml:space="preserve">Орос улс энэ оны хамгийн том агаарын цохилтоо Украины гол хотууд руу чиглүүлсний улмаас 18 хүний амь үрэгдэв.</t>
  </si>
  <si>
    <t xml:space="preserve">Орос улс энэ оны хамгийн олон нисгэгчгүй онгоц, пуужин оролцуулсан агаарын цохилтоо явуулсны улмаас Украин даяар 18 хүний амь үрэгдэж, 118 хүн шархадсаныг Киевийн эрх баригчид Пүрэв гарагт /2026.04.16/ мэдээлжээ.</t>
  </si>
  <si>
    <t xml:space="preserve">Украйн улс</t>
  </si>
  <si>
    <t xml:space="preserve">ОХУ</t>
  </si>
  <si>
    <t xml:space="preserve">https://ikon.mn/n/3mul</t>
  </si>
  <si>
    <t xml:space="preserve">2026.04.19</t>
  </si>
  <si>
    <t xml:space="preserve">2026.04.18</t>
  </si>
  <si>
    <t xml:space="preserve">Киев хотод зэвсэгт халдлага гарсны улмаас зургаан хүний амь үрэгджээ.</t>
  </si>
  <si>
    <t xml:space="preserve">Киевийн гудамжинд зургаан хүний амийг хөнөөсөн зэвсэгт халдлага гарсан тухай Украины албаныхан мэдээлжээ.</t>
  </si>
  <si>
    <t xml:space="preserve">Украйн улс, Киев хот</t>
  </si>
  <si>
    <t xml:space="preserve">1968 онд төрсөн, ОХУ-ын Москва хотын уугуул нэгэн</t>
  </si>
  <si>
    <t xml:space="preserve">https://ikon.mn/n/3mw0</t>
  </si>
  <si>
    <t xml:space="preserve">2026.04.20</t>
  </si>
  <si>
    <t xml:space="preserve">АНУ-ын эрх баригчид Ираны зэвсгийг Суданд нийлүүлж байсан иран гаралтай эмэгтэйг баривчилжээ</t>
  </si>
  <si>
    <t xml:space="preserve">АНУ-ын холбооны прокурорууд Ням гарагт Лос-Анжелесын олон улсын нисэх буудалд Тегераны засгийн газрын өмнөөс Суданд зэр зэвсэг нийлүүлж байсан иран гаралтай эмэгтэйг баривчилжээ.</t>
  </si>
  <si>
    <t xml:space="preserve">АНУ, Лос-Анжелес хот</t>
  </si>
  <si>
    <t xml:space="preserve">2016 онд АНУ-д байнга оршин суух хууль ёсны эрх авсан Ираны иргэн 44 настай Шамим Мафи </t>
  </si>
  <si>
    <t xml:space="preserve">https://ikon.mn/n/3mwe</t>
  </si>
  <si>
    <t xml:space="preserve">2026.04.21</t>
  </si>
  <si>
    <t xml:space="preserve">Мексикт жуулчид руу гал нээжээ.</t>
  </si>
  <si>
    <t xml:space="preserve">Мехико хотоос холгүй орших жуулчдын очих дуртай түүхэн дурсгалт газар болох Теотиуаканы пирамидуудын орчимд зэвсэглэсэн этгээд гал нээсний улмаас Канадын нэг иргэн амиа алдаж, 13 хүн шархадсан тухай "Al Jazeera" суваг мэдээлжээ.</t>
  </si>
  <si>
    <t xml:space="preserve">Мексик улс, Мехико хот</t>
  </si>
  <si>
    <t xml:space="preserve">Мексикийн иргэн Хулио Сезар Жассо Рамирез</t>
  </si>
  <si>
    <t xml:space="preserve">Монцамэ</t>
  </si>
  <si>
    <t xml:space="preserve">https://www.montsame.mn/mn/read/396734</t>
  </si>
  <si>
    <t xml:space="preserve">2026.04.22</t>
  </si>
  <si>
    <t xml:space="preserve">Extreme heat pushing global food systems to the brink, UN agencies warn</t>
  </si>
  <si>
    <t xml:space="preserve">хэт халуун нь дэлхийн хүнс, газар тариалангийн системийг сүйрлийн ирмэгт хүргэж, тэрбум гаруй хүний ​​амьжиргаанд заналхийлж байна. Учир нь температур нэмэгдэж, халууны давтамж нэмэгдэж байгаа нь дэлхий даяар хүнс үйлдвэрлэх аргыг дахин тодорхойлод хүргэж байна. </t>
  </si>
  <si>
    <t xml:space="preserve">Дэлхий даяар</t>
  </si>
  <si>
    <t xml:space="preserve">зохистой хоол, хүнсээр хангагдах эрх</t>
  </si>
  <si>
    <t xml:space="preserve">https://news.un.org/en/story/2026/04/1167352</t>
  </si>
  <si>
    <t xml:space="preserve">World News in Brief: Civilians at risk in Gaza and West Bank, Duterte to go on trial in ICC, Yemen detainees update</t>
  </si>
  <si>
    <t xml:space="preserve">Газын орон сууцны хорооллуудад үргэлжилсэн цохилт, их буу, буун дуу нь иргэдийн аюулгүй байдалд заналхийлж байгааг НҮБ-ын тусламжийн зохицуулах алба (OCHA) анхааруулав.</t>
  </si>
  <si>
    <t xml:space="preserve">Газын зурвас</t>
  </si>
  <si>
    <t xml:space="preserve">https://news.un.org/en/story/2026/04/1167373</t>
  </si>
  <si>
    <t xml:space="preserve">2026.04.25-05.01</t>
  </si>
  <si>
    <t xml:space="preserve">2026.04.24</t>
  </si>
  <si>
    <t xml:space="preserve">Two-thirds of global hunger concentrated in 10 conflict-hit countries</t>
  </si>
  <si>
    <t xml:space="preserve">Дэлхийн өлсгөлөнгийн эзлэх хувь зэвсэгт мөргөлдөөнд нэрвэгдсэн цөөн тооны орнуудад улам бүр нэмэгдэж байгаа бөгөөд хүнсний хомсдолд орсон хүмүүсийн гуравны хоёр нь ердөө 10 улсад төвлөрч байгааг анхааруулж байна.</t>
  </si>
  <si>
    <t xml:space="preserve">Зохистой хоол хүнсээр хангагдах эрх</t>
  </si>
  <si>
    <t xml:space="preserve">https://news.un.org/en/story/2026/04/1167374</t>
  </si>
  <si>
    <t xml:space="preserve">As warheads proliferate, decades old nuclear weapons treaty must evolve, warns UN chief</t>
  </si>
  <si>
    <t xml:space="preserve">Дэлхийн тэргүүлэх дипломатчид НҮБ-ын төв байранд цугларч, 1970 оны Цөмийн зэвсгийг үл дэлгэрүүлэх тухай гэрээг хянан хэлэлцэж байх үеэр НҮБ-ын Ерөнхий нарийн бичгийн дарга уг гэрээ нь хиймэл оюун ухаан болон бусад шинэ технологийн эрин үед оршин тогтнохын тулд хувьсан өөрчлөгдөх шаардлагатайг анхааруулжээ.</t>
  </si>
  <si>
    <t xml:space="preserve">АНУ, Нью-Йорк дахь НҮБ-ын төв байр</t>
  </si>
  <si>
    <t xml:space="preserve">https://news.un.org/en/story/2026/04/1167387</t>
  </si>
  <si>
    <t xml:space="preserve">2026.04.28</t>
  </si>
  <si>
    <t xml:space="preserve">А.Гутерриш: Хиймэл оюун, квант тооцооллын технологиуд цөмийн аюулыг ойртуулж байна</t>
  </si>
  <si>
    <t xml:space="preserve">Хиймэл оюун, квант тооцоолол зэрэг шинэ технологиудын хурдацтай хөгжил нь цөмийн аюулгүй байдлыг улам хүндрүүлж байна гэж НҮБ-ын Ерөнхий нарийн бичгийн дарга Антонио Гуттереш мэдэгджээ.</t>
  </si>
  <si>
    <t xml:space="preserve">https://montsame.mn/mn/read/397382 </t>
  </si>
  <si>
    <t xml:space="preserve">Чад улсад худаг булаацалдсан үндэстэн хоорондын мөргөлдөөний үеэр 42 хүн алагджээ</t>
  </si>
  <si>
    <t xml:space="preserve">Сахарын цөлд оршдог төв Африкийн Чад улсад худаг булаацалдсан үндэстэн хоорондын мөргөлдөөн гарсны улмаас 42 хүн амиа алдаж, 10 хүн шархаджээ.</t>
  </si>
  <si>
    <t xml:space="preserve">Чад улс, Вади Фира муж</t>
  </si>
  <si>
    <t xml:space="preserve">https://ikon.mn/n/3n3n </t>
  </si>
  <si>
    <t xml:space="preserve">A Deadline for the World to Act on Women’s Rights</t>
  </si>
  <si>
    <t xml:space="preserve">Афганистанд охидыг зургаадугаар ангиас дээш боловсрол эзэмшихийг хориглоод 1677 хоног өнгөрсөн бөгөөд ийнхүү эмэгтэйчүүд, охидын эрхийг системтэйгээр зөрчиж байгаа үйлдлүүд нь олон улсын эрх зүйн дагуу “хүйсийн үндсэн дээрх ялгаварлан гадуурхалт” төдийгүй “хүн төрөлхтний эсрэг гэмт хэрэг” гэж үзэгдэх үндэслэлтэй. Иймд улс орнууд мэдэгдэл гаргаж, санаа зовниж байгаагаа илэрхийлэхээс илүү зүйл хийх ёстой. </t>
  </si>
  <si>
    <t xml:space="preserve">Афганистан улс</t>
  </si>
  <si>
    <t xml:space="preserve">Жендэрийн эрх тэгш байдал, ялгаварлан гадуурхалтаас ангид байх</t>
  </si>
  <si>
    <t xml:space="preserve">Талибанчууд</t>
  </si>
  <si>
    <t xml:space="preserve">https://www.hrw.org/news/2026/04/28/a-deadline-for-the-world-to-act-on-womens-rights</t>
  </si>
  <si>
    <t xml:space="preserve">Оросын газрын тосны үйлдвэр дахин Украины халдлагад өртсөний улмаас томоохон гал гарч, иргэдийг нүүлгэн шилжүүлжээ</t>
  </si>
  <si>
    <t xml:space="preserve">Украины нисгэгчгүй онгоцны халдлагын улмаас Хар тэнгисийн эрэг дэх Оросын Туапсе хотын газрын тос боловсруулах үйлдвэрт томоохон гал гарч, ойролцоох барилгуудаас иргэдийг нүүлгэн шилжүүлсэн тухай орон нутгийн эрх баригчид Мягмар гарагт мэдээлжээ.</t>
  </si>
  <si>
    <t xml:space="preserve">ОХУ, Туапсе хот</t>
  </si>
  <si>
    <t xml:space="preserve">Украин улс</t>
  </si>
  <si>
    <t xml:space="preserve">https://ikon.mn/n/3n4o </t>
  </si>
  <si>
    <t xml:space="preserve">Nepal: Transgender Rights Progress Stalls</t>
  </si>
  <si>
    <t xml:space="preserve">Балбын эрх баригчид трансжендер хүмүүсийн үнэмлэх дээрх хууль ёсны хүйсээ өөрчлөх өргөдлийг шийдвэрлэхээ зогсоосон нь олон жилийн ахиц дэвшилтэй ухарч, хуулийн өмнө хүлээн зөвшөөрөгдөх үндсэн эрхийг зөрчиж байна гэжээ.</t>
  </si>
  <si>
    <t xml:space="preserve">Непал</t>
  </si>
  <si>
    <t xml:space="preserve">https://www.hrw.org/news/2026/04/29/nepal-transgender-rights-progress-stalls </t>
  </si>
  <si>
    <t xml:space="preserve">Hormuz crisis strangling global economy, Guterres warns, demanding solutions to end stalemate</t>
  </si>
  <si>
    <t xml:space="preserve">Ормузын хоолойн хурцадмал байдал нь хэдэн арван сая хүнийг ядууралд оруулж, дэлхийн өлсгөлөнг нэмэгдүүлж, тэр ч байтугай дэлхийг уналтад хүргэж болзошгүй гэж НҮБ-ын Ерөнхий нарийн бичгийн дарга пүрэв гарагт анхаарууллаа.</t>
  </si>
  <si>
    <t xml:space="preserve">НҮБ</t>
  </si>
  <si>
    <t xml:space="preserve">https://news.un.org/en/story/2026/04/1167411</t>
  </si>
  <si>
    <t xml:space="preserve">Lebanon strikes deepen crisis as hunger rises and conditions worsen in Gaza</t>
  </si>
  <si>
    <t xml:space="preserve">Пүрэв гарагт Ливаны өмнөд хэсэгт дор хаяж есөн хүн амиа алдсан тухай мэдээлсэн бөгөөд мөргөлдөөнөөс үүдэн энгийн иргэдэд ноцтой хохирол учрах, өлсгөлөн нэмэгдэх, төрийн үйлчилгээний ачаалал хэтрэх зэргээр илэрч буй  хямралыг улам даамжруулж байна.</t>
  </si>
  <si>
    <t xml:space="preserve">https://news.un.org/en/story/2026/04/1167418</t>
  </si>
  <si>
    <t xml:space="preserve">2026.05.01-07</t>
  </si>
  <si>
    <t xml:space="preserve">2026 World press freedom index</t>
  </si>
  <si>
    <t xml:space="preserve">Монгол Улс хэвлэлийн эрх чөлөөний индексээр 55.79 оноотой 180 орноос 85-т бичигдэж, өмнө жилээс 17 байр урагшилжээ. Гэсэн хэдий ч дэлхийн дундаж оноо түүхэндээ байгаагүйгээр доод түвшинд хүрсэн байна.</t>
  </si>
  <si>
    <t xml:space="preserve">Хэвлэлийн эрх чөлөө</t>
  </si>
  <si>
    <t xml:space="preserve">Reporters without borders</t>
  </si>
  <si>
    <t xml:space="preserve">https://rsf.org/en/index </t>
  </si>
  <si>
    <t xml:space="preserve">Abuse of women journalists made ‘easier and more damaging’ by AI</t>
  </si>
  <si>
    <t xml:space="preserve">Жил бүрийн 5 дугаар сарын 3-нд тэмдэглэдэг Дэлхийн хэвлэлийн эрх чөлөөний өдрийг угтан нийтэлсэн судалгаагаар 2020 оноос хойш эмэгтэй сэтгүүлчдийн эсрэг цахим хүчирхийллийн тохиолдол хоёр дахин нэмэгдсэн бөгөөд энэ нь тэдний эрүүл мэнд, сайн сайхан байдалд ноцтой сөрөг нөлөө үзүүлж байна.</t>
  </si>
  <si>
    <t xml:space="preserve">Хэвлэлийн эрх чөлөө, халдашгүй чөлөөтэй байх эрх</t>
  </si>
  <si>
    <t xml:space="preserve">https://news.un.org/en/story/2026/04/1167416
 https://www.unwomen.org/sites/default/files/2026-04/tipping-point-online-violence-impacts-manifestations-and-redress-en.pdf</t>
  </si>
  <si>
    <t xml:space="preserve">Two Jewish men stabbed in London in what police call terrorist incident</t>
  </si>
  <si>
    <t xml:space="preserve">Лхагва гарагт Лондон хотын хойд хэсгийн навчит захын хороололд хоёр еврэй эрийг өдрийн цагаар хутгалсан хэрэг гарсныг  цагдаа нэр террорист халдлага гэж тодорхойлжээ.</t>
  </si>
  <si>
    <t xml:space="preserve">Их Британи, Лондон</t>
  </si>
  <si>
    <t xml:space="preserve">Амьд явах эрх, ялгаварлан гадуурхалтаас ангид байх эрх</t>
  </si>
  <si>
    <t xml:space="preserve">Сэжигтэн 45 настай, Сомалид төрсөн, Британийн иргэн гэж цагдаагийн байгууллагаас мэдэгджээ.</t>
  </si>
  <si>
    <t xml:space="preserve">CNN</t>
  </si>
  <si>
    <t xml:space="preserve">https://edition.cnn.com/2026/04/29/uk/north-london-stabbing-jewish-community-intl</t>
  </si>
  <si>
    <t xml:space="preserve">2026.05.02</t>
  </si>
  <si>
    <t xml:space="preserve">What is the hantavirus that has been confirmed on an Atlantic cruise ship?</t>
  </si>
  <si>
    <t xml:space="preserve">Атлантын далайд аялж байсан аялалын хөлөг онгоцонд хантавирусын халдварын дэгдэлт гарсны улмаас гурван хүн нас барсан гэж Дэлхийн эрүүл мэндийн байгууллага (ДЭМБ) мэдэгдэв.</t>
  </si>
  <si>
    <t xml:space="preserve">ДЭМБ</t>
  </si>
  <si>
    <t xml:space="preserve">Амьд явах эрх</t>
  </si>
  <si>
    <t xml:space="preserve">ВВС</t>
  </si>
  <si>
    <t xml:space="preserve">https://www.bbc.com/news/articles/c8r8j1l6j0go</t>
  </si>
  <si>
    <t xml:space="preserve">Global rise of cyberattacks exposes limits of technical solutions</t>
  </si>
  <si>
    <t xml:space="preserve">Интернет дэлхийн өнцөг булан бүрт хүрч, эрүүл мэндийн систем, санхүүгийн зах зээлээс эхлээд төрийн үйлчилгээ, сонгуулийн зохион байгуулалт хүртэл бүх зүйлд чухал үүрэг гүйцэтгэдэг. Энэхүү эрчимтэй дэлхийн хэмжээний харилцан уялдаа холбоо нь мэдээж асар их ашиг тустай боловч кибер гэмт хэргийн тахал сая сая хүний ​​​​амь насыг эрсдэлд оруулж байна.</t>
  </si>
  <si>
    <t xml:space="preserve">Цахим халдлага</t>
  </si>
  <si>
    <t xml:space="preserve">https://news.un.org/en/story/2026/05/1167439</t>
  </si>
  <si>
    <t xml:space="preserve">China: ‘Harmonization Plan’ Erasing Tibetan Language</t>
  </si>
  <si>
    <t xml:space="preserve">Human Rights Watch-ийн 2026 оны 5 дугаар сарын 4-ний тайланд дурдсанаар БНХАУ-ын эрх баригчид Төвөд хэлний хэрэглээг үе шаттайгаар багасгах зорилготой “хэлний уялдуулах” (harmonization) бодлого хэрэгжүүлж байна гэж анхааруулжээ.</t>
  </si>
  <si>
    <t xml:space="preserve">Үндэстний цөөнх</t>
  </si>
  <si>
    <t xml:space="preserve">БНХАУ-ын эрх баригчид</t>
  </si>
  <si>
    <t xml:space="preserve">https://www.hrw.org/news/2026/05/04/china-harmonization-plan-erasing-tibetan-language</t>
  </si>
  <si>
    <t xml:space="preserve">2026.05.05</t>
  </si>
  <si>
    <t xml:space="preserve">UN leads call to prepare ‘for when digital systems fail’</t>
  </si>
  <si>
    <t xml:space="preserve">НҮБ дижитал системүүд доголдсон үед бэлэн байх шаардлагатайг анхааруулж, “дижитал тахал” үүсэх эрсдэлийн талаар дэлхий нийтийг сэрэмжлүүллээ. “Digital risks: From solar storms to extreme weather” нэртэй шинэ тайланд хиймэл дагуул, цахилгаан сүлжээ, банк санхүү, эрүүл мэнд, тээвэр, холбоо зэрэг харилцан уялдаатай системүүд нэгэн зэрэг доголдвол дэлхий даяар гинжин нөлөө бүхий хямрал үүсэж болзошгүйг онцолжээ.</t>
  </si>
  <si>
    <t xml:space="preserve">Цахим технологи</t>
  </si>
  <si>
    <t xml:space="preserve">https://news.un.org/en/story/2026/05/1167445</t>
  </si>
  <si>
    <t xml:space="preserve">Hantavirus outbreak: Another passenger contracts disease</t>
  </si>
  <si>
    <t xml:space="preserve">Хантавирусын дэгдэлттэй холбоотой аяллын хөлөг онгоц дээр өөр нэг зорчигч уг өвчнөөр өвчилсөн нь батлагджээ. Уг өвчний улмаас онгоцонд байсан гурван хүний ​​аминд хүрч, ДЭМБ-аас бэлэн байдал зарлаад байна.</t>
  </si>
  <si>
    <t xml:space="preserve">Эмнэлгийн тусламж үйлчилгээ авах</t>
  </si>
  <si>
    <t xml:space="preserve">https://news.un.org/en/story/2026/05/1167449</t>
  </si>
  <si>
    <t xml:space="preserve">BAHRAIN: Civil society urges world leaders to act against citizenship stripping and related human rights violations</t>
  </si>
  <si>
    <t xml:space="preserve">Бахрейны засгийн газрын иргэншил хураах бодлогыг олон улсын хүний эрхийн байгууллагууд шүүмжилж, дэлхийн удирдагчдыг арга хэмжээ авахыг уриалжээ.</t>
  </si>
  <si>
    <t xml:space="preserve">Бахрейн</t>
  </si>
  <si>
    <t xml:space="preserve">Иргэншилтэй байх, үзэл бодлоо илэрхийлэх эрх</t>
  </si>
  <si>
    <t xml:space="preserve">Бахрейн улсын Засгийн газар</t>
  </si>
  <si>
    <t xml:space="preserve">Сivicus  </t>
  </si>
  <si>
    <t xml:space="preserve">https://www.civicus.org/index.php/media-resources/news/8302-bahrain-civil-society-urges-world-leaders-to-act-against-citizenship-stripping-and-related-human-rights-violations</t>
  </si>
  <si>
    <t xml:space="preserve">Russian strikes kill 27 in Ukraine ahead of rival ceasefires around Moscow’s Victory Day parade</t>
  </si>
  <si>
    <t xml:space="preserve">Мягмар гарагт Оросын халдлагын улмаас Украин даяар 20 гаруй хүн амь үрэгдсэн бөгөөд тэдний 12 нь энэ оны хамгийн олон хүний амь хохирсон халдлагуудын нэгэнд өртсөн байна. Энэ нь Киевээс санал болгосон хугацаагүй гал зогсоох хэлэлцээр шөнө дундаас хэрэгжиж эхлэхээс хэдхэн цагийн өмнө болсон юм.</t>
  </si>
  <si>
    <t xml:space="preserve">https://edition.cnn.com/2026/05/05/europe/russia-strike-before-victory-day-parade-intl</t>
  </si>
  <si>
    <t xml:space="preserve">UN Guidance on Dismantling Gender Stereotypes</t>
  </si>
  <si>
    <t xml:space="preserve">НҮБ-ын Эмэгтэйчүүдийг алагчлах бүх хэлбэрийг устгах хорооноос жендэрийн хэвшмэл ойлголтын талаарх ерөнхий зөвлөмжийн төслийг боловсруулж байгааг сайшааж бйна.</t>
  </si>
  <si>
    <t xml:space="preserve">https://www.hrw.org/news/2026/05/07/un-guidance-on-dismantling-gender-stereotypes
Төсөл:
https://www.ohchr.org/en/calls-for-input/2026/call-comments-draft-general-recommendation-gender-stereotypes </t>
  </si>
  <si>
    <t xml:space="preserve">2026.05.08-15</t>
  </si>
  <si>
    <t xml:space="preserve">2026.05.08</t>
  </si>
  <si>
    <t xml:space="preserve">Australia: 3 Alleged ISIS-Linked Women Face Serious Charges</t>
  </si>
  <si>
    <t xml:space="preserve">Human Rights Watch 2026 оны 5 дугаар сарын 7–8-нд Австралийн гурван эмэгтэйд ISIS (Islamic State буюу Islamic State of Iraq and Syria нь Ирак, Сирид үүссэн зэвсэгт хэт даврагч исламын бүлэглэл)-тэй холбоотой ноцтой гэмт хэрэгт холбогдуулан эрүүгийн хэрэг үүсгэсэнтэй холбоотойгоор шүүх ажиллагаа нь шударга шүүхийн болон хууль ёсны процессын бүх баталгааг бүрэн хангах ёстой гэж мэдэгдэв.
Түүнчлэн энэ хэрэг нь Австрали улс 2002 онд баталсан олон улсын ноцтой гэмт хэргийг мөрдөн шалгах тухай хуулиа ашиглан хүн төрөлхтний эсрэг гэмт хэрэгт анх удаа ял тулгаж буй тохиолдол юм.</t>
  </si>
  <si>
    <t xml:space="preserve">Австрали улс</t>
  </si>
  <si>
    <t xml:space="preserve">https://www.hrw.org/news/2026/05/08/australia-3-alleged-isis-linked-women-face-serious-charges </t>
  </si>
  <si>
    <t xml:space="preserve">2026.05.11</t>
  </si>
  <si>
    <t xml:space="preserve">World News in Brief: Human rights in Mongolia, surge in sexual violence in Haiti, worsening hunger in Afghanistan</t>
  </si>
  <si>
    <t xml:space="preserve">НҮБ-ын Хүний эрхийн дээд комиссар даваа гарагт Монгол Улсад хийсэн айлчлалынхаа үеэр тус улсын хүний эрхийн салбар дахь сүүлийн үеийн ахиц дэвшлийг сайшаасан ч авлигын асуудал ноцтой хэвээр байгааг тэрээр онцолсон байна.</t>
  </si>
  <si>
    <t xml:space="preserve">Нийтийн ашиг сонирхол</t>
  </si>
  <si>
    <t xml:space="preserve">https://news.un.org/en/story/2026/05/1167484</t>
  </si>
  <si>
    <t xml:space="preserve">European Union: Surveillance Technology Sold to Rights Violators</t>
  </si>
  <si>
    <t xml:space="preserve">Human Rights Watch 2026 оны 5 дугаар сарын 12-нд нийтэлсэн “Looking the Other Way: EU Failure to Prevent Surveillance Exports to Rights Violators” тайландаа Европын Холбоо хүний эрх зөрчдөг засгийн газруудад тагнаж, чагнах технологи экспортлохыг үр дүнтэйгээр зогсоож чадахгүй байгааг шүүмжилжээ.</t>
  </si>
  <si>
    <t xml:space="preserve">Европын холбоо</t>
  </si>
  <si>
    <t xml:space="preserve">Халдашгүй чөлөөтэй байх</t>
  </si>
  <si>
    <t xml:space="preserve">https://www.hrw.org/news/2026/05/12/european-union-surveillance-technology-sold-to-rights-violators
тайлангийн холбоос: https://www.hrw.org/sites/default/files/media_2026/05/eu_spyware0526%20web_2.pdf </t>
  </si>
  <si>
    <t xml:space="preserve">From childhood to university, economic inequality shapes life chances worldwide</t>
  </si>
  <si>
    <t xml:space="preserve">UNICEF болон UNESCO мягмар гарагт анхааруулахдаа эдийн засгийн тэгш бус байдал нь хүүхдийн эрүүл мэнд, боловсрол болон ирээдүйн боломжид гүнзгий нөлөө үзүүлж байгаа бөгөөд үүний үр дагавар зөвхөн сургуулиар хязгаарлагдахгүй байгааг онцолжээ.</t>
  </si>
  <si>
    <t xml:space="preserve">Хүүхдийн эрх, эрх тэгш байх</t>
  </si>
  <si>
    <t xml:space="preserve">https://news.un.org/en/story/2026/05/1167492</t>
  </si>
  <si>
    <t xml:space="preserve">World News in Brief: Conflict drives hunger in DR Congo, mass corporal punishment in Afghanistan, Earth’s sand is running out</t>
  </si>
  <si>
    <t xml:space="preserve">1. Ардчилсан Конго улсад 26.5 сая гаруй хүн өлсгөлөнд нэрвэгдэж байна.
2. Афганистаны талаарх НҮБ-ын хүний ​​эрхийн шинэ тайланд дурдсанаар, Талибан бүлэглэл ердөө гурван сарын хугацаанд дор хаяж 312 хүнд, түүний дотор 39 эмэгтэй, дөрвөн хүүд шүүхийн шийдвэрээр бие махбодийн шийтгэл оногдуулсан байна.
3. НҮБ-ын Environment Programme (UNEP)-ын тайланд хүн төрөлхтөн элс, хайргыг байгалиас жамаар нөхөгдөх хугацаанаад хурдан олборлож байгаа талаар дурджээ.</t>
  </si>
  <si>
    <t xml:space="preserve">https://news.un.org/en/story/2026/05/1167495</t>
  </si>
  <si>
    <t xml:space="preserve">Дэлхий даяар жил бүр цахим залилангаас $534 тэрбумын хохирол учирч байна</t>
  </si>
  <si>
    <t xml:space="preserve">AI хурдацтай хөгжихийн хэрээр кибер халдлага ч газар авах боллоо. Тухайлбал, Америкт нэгэн сэтгүүлчийн нэр, нас, хаяг гэх мэт хувийн мэдээллийг хакерууд AI ашиглан хулгайлаад 13 их сургуульд бүртгүүлж, $50 мянгын оюутны сургалтын зээл авах гэж байсан аж.</t>
  </si>
  <si>
    <t xml:space="preserve">Халдашгүй чөлөөтэй байх, хувийн мэдээллээ хамгаалуулах</t>
  </si>
  <si>
    <t xml:space="preserve">Lemonpress</t>
  </si>
  <si>
    <t xml:space="preserve">https://lemonpress.mn/post/cVgdzJ86xR6</t>
  </si>
  <si>
    <t xml:space="preserve">2026.05.13</t>
  </si>
  <si>
    <t xml:space="preserve">World News in Brief: Mounting waste in Gaza, drone attacks in Sudan, aid truck struck in Ukraine</t>
  </si>
  <si>
    <t xml:space="preserve">Газын бүс дэх хогийн цэг хүчин чадлаасаа хэтэрсэн ч хог хаягдлыг хүлээн авсаар байгаа нь өвчин тусах эрсдлийг нэмэгдүүлж байна. </t>
  </si>
  <si>
    <t xml:space="preserve">Эрүүл аюулгүй орчинд амьдрах</t>
  </si>
  <si>
    <t xml:space="preserve">https://news.un.org/en/story/2026/05/1167502</t>
  </si>
  <si>
    <t xml:space="preserve">Trillions of miles of data: Your car is spying on you, and it's only just the beginning</t>
  </si>
  <si>
    <t xml:space="preserve">Таны жин, нүүрний хувиралаас эхлээд очих газар хүртэл машинууд таны тухай гайхалтай хэмжээний мэдээллийг цуглуулж, мэдээллийн эзний зөвшөөрөлгүйгээр мэдээллийн брокерууд болон даатгалын компаниудад худалддаг аж.</t>
  </si>
  <si>
    <t xml:space="preserve">BBC</t>
  </si>
  <si>
    <t xml:space="preserve">https://www.bbc.com/future/article/20260513-your-car-is-spying-on-you-its-about-to-get-worse</t>
  </si>
  <si>
    <t xml:space="preserve">UN rights chief warns abuses in DPR Korea remain a ‘human rights crisis’</t>
  </si>
  <si>
    <t xml:space="preserve">БНАСАУ-д хүний ​​эрхийн ноцтой зөрчил үргэлжилсээр байгаа бөгөөд олон улсын анхаарлын төвөөс алга болох ёсгүй гэж НҮБ-ын Хүний эрхийн дээд комиссар Волкер Түрк лхагва гарагт анхааруулав. "БНАСАУ-ын нөхцөл байдал бол хүний ​​эрхийн хямрал бөгөөд олон улсын нийгэмлэг үүнийг ингэж авч үзэх цаг болсон" гэж ноён Түрк хэлэв.</t>
  </si>
  <si>
    <t xml:space="preserve">БНАСАУ</t>
  </si>
  <si>
    <t xml:space="preserve">https://news.un.org/en/story/2026/05/1167504</t>
  </si>
  <si>
    <t xml:space="preserve">2026.05.15</t>
  </si>
  <si>
    <t xml:space="preserve">World News in Brief: Malnutrition in Somalia, hunger crisis in DR Congo, energy shortages in Cuba</t>
  </si>
  <si>
    <t xml:space="preserve">1. Сомалид ойролцоогоор зургаан сая хүн буюу хүн амын гуравны нэг нь дөрөвдүгээр сараас зургадугаар сарын хооронд өлсгөлөнтэй тулгарах төлөвтэй байна. 
2. Конго улсын хүн амын дөрөвний нэг нь буюу 26 сая гаруй хүн хүнсний үндсэн хэрэгцээгээ хангахад бэрхшээлтэй байна.
3. Куба улс даяар түлшний хомсдол, удаан хугацааны цахилгаан тасалдал үргэлжилсээр байгаа тул эрчим хүчний хямрал улам бүр нэмэгдэж байна.</t>
  </si>
  <si>
    <t xml:space="preserve">https://news.un.org/en/story/2026/05/1167514</t>
  </si>
  <si>
    <t xml:space="preserve">2026.05.15-20</t>
  </si>
  <si>
    <t xml:space="preserve">WHO sounds alarm over nicotine pouches targeting young people</t>
  </si>
  <si>
    <t xml:space="preserve">Дэлхийн Эрүүл Мэндийн Байгууллагаас баасан гарагт анхааруулахдаа тод өнгийн савлагаатай никотинтай уутан бүтээгдэхүүнүүдийг сошиал медиа нөлөөлөгчид, хөгжмийн фестиваль болон залуучуудад чиглэсэн сурталчилгаагаар идэвхтэй түгээж байгаа нь дэлхий даяар залуусын дунд никотины хэрэглээ огцом нэмэгдэхэд нөлөөлж байна гэж мэдэгджээ.</t>
  </si>
  <si>
    <t xml:space="preserve">https://news.un.org/en/story/2026/05/1167520</t>
  </si>
  <si>
    <t xml:space="preserve">2026.05.17</t>
  </si>
  <si>
    <t xml:space="preserve">Конго улсад дэгдсэн эбола вирусийн халдварын улмаас амиа алдсан хүний тоо 80 хүрэв</t>
  </si>
  <si>
    <t xml:space="preserve">Африк тивийн Конго улсын зүүн хэсэгт дэгдсэн эбола вирусийн халдварын улмаас хамгийн цөөндөө 80 хүн амиа алдсаныг тус улсын эрх баригчид Бямба гарагт мэдээлжээ.
Уг дэгдэлтийн талаар Конгын тал Баасан гарагт анх зарлахдаа 65 хүн нас барж, 246 хүн халдвар авсан байж болзошгүйг мэдээлж байв.
Итури мужийн төв Буниа хотод нас барсан хүмүүсийг олноор оршуулж байгаа талаар орон нутгийн иргэд мэдээлжээ.</t>
  </si>
  <si>
    <t xml:space="preserve">Африк тивийн Конго улс</t>
  </si>
  <si>
    <t xml:space="preserve">Эрүүл аюулгүй орчинд амьдрах, эмнэлгийн тусламж, үйлчилгээ авах эрх</t>
  </si>
  <si>
    <t xml:space="preserve">https://ikon.mn/n/3njt</t>
  </si>
  <si>
    <t xml:space="preserve">2026.05.24</t>
  </si>
  <si>
    <t xml:space="preserve">Москва хот орчмын бүс нутаг Украины дроны томоохон халдлагад өртсөний улмаас гурван хүний амь үрэгджээ</t>
  </si>
  <si>
    <t xml:space="preserve">Ням гарагийн шөнө Москва орчмын бүс нутаг Украины дроны томоохон халдлагад өртөх үеэр гурван хүн алагдаж, хэд хэдэн хүн шархадсаныг Оросын эрх баригчид өчигдөр өглөө мэдээлжээ. Москвагийн хойд талд оршдог Химки дагуул хотод нэг эмэгтэй амь үрэгдэж, нэг хүн нурангид дарагдсаныг бүс нутгийн захирагч Андрей Воробьев мэдээлсэн байна. </t>
  </si>
  <si>
    <t xml:space="preserve">Москвагийн хойд талд оршдог Химки дагуул хот, Погорелки тосгон</t>
  </si>
  <si>
    <t xml:space="preserve">Украины ерөнхийлөгч Володимир Зеленский энэхүү цохилтыг өөрийнх нь хотуудын эсрэг үйлдсэн Оросын халдлагын “бүрэн үндэслэлтэй” хариу арга хэмжээ гэж тодорхойлсон байна.</t>
  </si>
  <si>
    <t xml:space="preserve">https://ikon.mn/n/3nk4</t>
  </si>
  <si>
    <t xml:space="preserve">LGBTIQ+ face mounting violence and discrimination, warns UN rights chief</t>
  </si>
  <si>
    <t xml:space="preserve">LGBTIQ+ хүмүүсийн эсрэг хүчирхийлэл болон ялгаварлан гадуурхалт өргөн хүрээнд түгээмэл хэвээр байгаа бөгөөд ялангуяа сургуулийн орчинд ноцтой байгааг онцолжээ. Судалгаагаар ЛГБТ залуусын 45 хувь нь дээрэлхэлтэд өртөж байсан гэж мэдээлжээ.</t>
  </si>
  <si>
    <t xml:space="preserve">Ялгаварлан гадуурхалтаас ангид байх</t>
  </si>
  <si>
    <t xml:space="preserve">https://news.un.org/en/story/2026/05/1167532</t>
  </si>
  <si>
    <t xml:space="preserve">World News in Brief: More attacks in Ukraine, violence against children in Haiti, refugee IDs in Africa</t>
  </si>
  <si>
    <t xml:space="preserve">1. НҮБ-ын хүмүүнлэгийн тусламжийн зохицуулах алба (OCHA)-ийн мэдээлснээр, дайны хөлд нэрвэгдсэн Украинд хүмүүнлэгийн ажилтнууд, энгийн иргэд ноцтой аюулд өртсөөр байна.
2. Хайти дахь хүүхдийн хүчирхийлэл улам бүр нэмэгдэж байгаа бөгөөд зэвсэгт бүлэглэлүүд насанд хүрээгүй хүүхдүүдийг элсүүлэх, хүүхдүүдийг хөнөөж гэмтээх, мөн бэлгийн хүчирхийлэл үйлдэж, олон нийтийг айлган сүрдүүлэх явдал нэмэгдэж байгааг онцолжээ.
3. НҮБ-ын төлөөлөгчид Даваа гарагт Кот-д'Ивуарт засгийн газрын албан тушаалтнууд, иргэний нийгэм, үнэмлэхний мэргэжилтнүүдтэй уулзаж, Африк даяар дүрвэгсэд болон харьяалалгүй хүмүүсийг үндэсний дижитал үнэмлэхний системд хамруулах ажлыг урагшлуулахаар болжээ.</t>
  </si>
  <si>
    <t xml:space="preserve">https://news.un.org/en/story/2026/05/1167541</t>
  </si>
  <si>
    <t xml:space="preserve">Сан-Диего хотын лалын сүмд гал нээсний улмаас таван хүн амиа алджээ</t>
  </si>
  <si>
    <t xml:space="preserve">АНУ-ын Калифорни муж улсын Сан-Диего хотын Исламын шашны сүмд даваа гарагт өсвөр насны хоёр хүүхэд гал нээж, сүмийн гадна байсан гурван эрэгтэй, тэдний дотор нэг хамгаалалтын ажилтны амийг хөнөөсөн тухай цагдаагийн газар мэдээлэв. </t>
  </si>
  <si>
    <t xml:space="preserve">АНУ-ын Калифорни муж улсын Сан-Диего хот</t>
  </si>
  <si>
    <t xml:space="preserve">Өсвөр насны 2 хүүхэд гал нээсэн бөгөөд хоёулаа амиа хорлосон байна. </t>
  </si>
  <si>
    <t xml:space="preserve">МОНЦАМЭ</t>
  </si>
  <si>
    <t xml:space="preserve">https://www.montsame.mn/mn/read/399523</t>
  </si>
  <si>
    <t xml:space="preserve">Security Council LIVE: Civilians in conflict under spotlight amid rising global toll</t>
  </si>
  <si>
    <t xml:space="preserve">Дэлхий даяарх дайнд энгийн иргэдийн амь нас эрсдэх, хүмүүнлэгийн ажилтнуудад халдах, орон сууц, чухал дэд бүтцийг өргөн хүрээнд сүйтгэх зэрэг асуудал улам бүр нэмэгдэж байгаатай холбогдуулан Аюулгүйн Зөвлөл зэвсэгт мөргөлдөөнд энгийн иргэдийг хамгаалах асуудлаар жил бүр зохион байгуулдаг нээлттэй хэлэлцүүлгээ Нью-Йорк хотод зохион байгуулж байна.</t>
  </si>
  <si>
    <t xml:space="preserve">АНУ, Нью-Йорк хот</t>
  </si>
  <si>
    <t xml:space="preserve">https://news.un.org/en/story/2026/05/1167554</t>
  </si>
  <si>
    <t xml:space="preserve">2026.05.28 (Eid al-Adha баярын эхний өдөр)</t>
  </si>
  <si>
    <t xml:space="preserve">Газа хотод хийсэн агаарын цохилтоор иргэд амь үрэгдсэн</t>
  </si>
  <si>
    <t xml:space="preserve">АНУ-ын зуучилсан гал зогсоох хэлэлцээр хүчинтэй атал Израиль Газа хотыг үргэлжлүүлэн бөмбөгджээ. Газа хотын баруун хэсэгт орших ал-Римал хороололд орон сууцны барилгад шөнийн цагаар хийсэн цохилтоор дор хаяж 10 хүн нас барж, 20 хүн шархдсан бөгөөд нас барагсдын дунд 4 хүүхэд багтсан. Палестины эрх бүхий байгууллагууд Израиль гал зогсоох хэлэлцээрийг 3000 гаруй удаа зөрчсөн гэж мэдэгджээ.</t>
  </si>
  <si>
    <t xml:space="preserve">Газын зурвас, Газа хот (Палестин)</t>
  </si>
  <si>
    <t xml:space="preserve">Амьд явах эрх, хүүхдийн эрх, зэвсэгт мөргөлдөөний үед иргэдийг хамгаалах олон улсын хүмүүнлэгийн эрх зүй</t>
  </si>
  <si>
    <t xml:space="preserve">Израилийн зэвсэгт хүчин</t>
  </si>
  <si>
    <t xml:space="preserve">Democracy Now! (2026.05.28)</t>
  </si>
  <si>
    <t xml:space="preserve">https://www.democracynow.org/2026/5/28/headlines</t>
  </si>
  <si>
    <t xml:space="preserve">2026.03–05 сар</t>
  </si>
  <si>
    <t xml:space="preserve">Орос улсад ЛГБТ эрхийн байгууллагуудыг "хэт даврагч" хэмээн хориглож, эрүүгийн хариуцлага хүлээлгэж байна</t>
  </si>
  <si>
    <t xml:space="preserve">Оросын эрх баригчид лесбиян, гей, бисексуал, трансжендер хүмүүст дэмжлэг үзүүлдэг есөн байгууллагыг "хэт даврагч" хэмээн хориглосон. 2026 оны 3-аас 5 дугаар сарын хооронд долоон бүс нутагт шүүх есөн ЛГБТ байгууллагыг хорьжээ. Энэ нь зөрчлийг баримтжуулдаг, мэдээлэл хуваалцдаг, хууль зүй болон эмнэлгийн туслалцаа үзүүлдэг хүмүүсийг дарамтлах, гутаах зорилготой.</t>
  </si>
  <si>
    <t xml:space="preserve">Орос Улс</t>
  </si>
  <si>
    <t xml:space="preserve">Эвлэлдэн нэгдэх эрх, үзэл бодлоо чөлөөтэй илэрхийлэх эрх, ялгаварлан гадуурхалтаас ангид байх эрх</t>
  </si>
  <si>
    <t xml:space="preserve">Оросын төрийн эрх бүхий байгууллага, шүүх</t>
  </si>
  <si>
    <t xml:space="preserve">Human Rights Watch (2026.05.28)</t>
  </si>
  <si>
    <t xml:space="preserve">https://www.hrw.org/news/2026/05/28/russia-lgbt-rights-groups-further-criminalized</t>
  </si>
  <si>
    <t xml:space="preserve">2026.05.25</t>
  </si>
  <si>
    <t xml:space="preserve">Үргэлжилж буй (RSF-ийн зөрчил)</t>
  </si>
  <si>
    <t xml:space="preserve">Абу-Даби Суданд цэргийн дэмжлэг үзүүлэхээ зогсоох ёстой гэж уриалав</t>
  </si>
  <si>
    <t xml:space="preserve">Human Rights Watch-аас гаргасан мэдэгдэлд Абу-Даби (АНЭУ) Суданд иргэдийн эсрэг ноцтой зөрчил үйлдэж буй Хурдан Дэмжлэгийн Хүчин (RSF)-д үзүүлж буй бүх цэргийн дэмжлэгээ зогсоохыг уриалжээ. RSF нь иргэний хүн амын эсрэг өргөн хүрээтэй хүчирхийлэл, зөрчил үйлдсэн гэж буруутгагдаж байна.</t>
  </si>
  <si>
    <t xml:space="preserve">Судан Улс (дэмжлэг: АНЭУ/Абу-Даби)</t>
  </si>
  <si>
    <t xml:space="preserve">Амьд явах эрх, иргэний хүн амыг хамгаалах олон улсын хүмүүнлэгийн эрх зүй</t>
  </si>
  <si>
    <t xml:space="preserve">RSF (Хурдан Дэмжлэгийн Хүчин), дэмжигч АНЭУ</t>
  </si>
  <si>
    <t xml:space="preserve">Human Rights Watch (2026.05.25)</t>
  </si>
  <si>
    <t xml:space="preserve">https://www.hrw.org/news</t>
  </si>
  <si>
    <t xml:space="preserve">2026.05.30-06.05</t>
  </si>
  <si>
    <t xml:space="preserve">2026.05.29</t>
  </si>
  <si>
    <t xml:space="preserve">Banning children from social media is not the answer, UN warns – platforms must be made safe by design</t>
  </si>
  <si>
    <t xml:space="preserve">НҮБ-ын Хүний эрхийн дээд комиссарын газраас хүүхдүүдийг сошиал медиагаас бүрэн хориглох нь онлайн орчны эрсдэлийг шийдвэрлэх хангалттай арга биш бөгөөд технологийн компаниуд платформуудаа хүүхдэд аюулгүй байдлаар анхнаас нь зохион бүтээх ёстой гэж мэдэгджээ.</t>
  </si>
  <si>
    <t xml:space="preserve">https://news.un.org/en/story/2026/05/1167608</t>
  </si>
  <si>
    <t xml:space="preserve">2026.05.30</t>
  </si>
  <si>
    <t xml:space="preserve">Израиль, Орос улсууд анх удаагаа НҮБ-ын дайны үеийн бэлгийн хүчирхийллийн хар жагсаалтад багтав</t>
  </si>
  <si>
    <t xml:space="preserve">НҮБ-ын Ерөнхий нарийн бичгийн дарга Антонио Гутеррешийн албанаас өчигдөр гаргасан тайланд сүүлийн жилүүдэд Газын зурвас болон Йордан голын баруун эрэгт палестинчуудын эсрэг Израилийн цэргүүдийн үйлдсэн бэлгийн хүчирхийллийн 31 тохиолдлыг НҮБ бүртгэсэн талаар дурдсан байна.</t>
  </si>
  <si>
    <t xml:space="preserve">https://ikon.mn/n/3nwu</t>
  </si>
  <si>
    <t xml:space="preserve">El Niño confirmed, set to fuel more extreme weather, says WMO</t>
  </si>
  <si>
    <t xml:space="preserve">НҮБ болон World Meteorological Organization (Дэлхийн цаг уурын байгууллага) Номхон далайн халалттай холбоотой Эль Ниньо үзэгдэл эхэлснийг албан ёсоор баталж, ойрын саруудад дэлхийн ихэнх бүс нутагт температур хэвийн хэмжээнээс өндөр байж, халалтын давалгаа, ган, үер зэрэг цаг агаарын эрс тэс үзэгдлүүд олшрох төлөвтэй байгааг анхаарууллаа.</t>
  </si>
  <si>
    <t xml:space="preserve">Уур амьсгалын өөрчлөлт</t>
  </si>
  <si>
    <t xml:space="preserve">https://news.un.org/en/story/2026/06/1167620
Монгол хэл дээр: https://www.montsame.mn/mn/read/400867</t>
  </si>
  <si>
    <t xml:space="preserve">2026.06.03</t>
  </si>
  <si>
    <t xml:space="preserve">Unsafe food kills 1.5 million people each year; children most at risk: WHO</t>
  </si>
  <si>
    <t xml:space="preserve">2026 оны 6 дугаар сарын 7-нд тэмдэглэх Дэлхийн хүнсний аюулгүй байдлын өдөр-ийг тохиолдуулан World Health Organization (ДЭМБ) аюулгүй бус хүнсний улмаас жил бүр ойролцоогоор 1.5 сая хүн нас барж, олон зуун сая хүн өвчилж байгааг анхааруулжээ.</t>
  </si>
  <si>
    <t xml:space="preserve">https://news.un.org/en/story/2026/06/1167644</t>
  </si>
  <si>
    <t xml:space="preserve">2026.03.02-03</t>
  </si>
  <si>
    <t xml:space="preserve">Украин даяар явуулсан Оросын агаарын довтолгоонд доод тал нь 21 хүний амь үрэгджээ</t>
  </si>
  <si>
    <t xml:space="preserve">Даваа гарагийн оройгоос эхлэн Мягмар гарагийн өглөө хүртэл хугацаанд Оросын тал 73 пуужин, 656 нисгэгчгүй онгоцоор довтолсныг Украины агаарын цэргийн хүчин мэдээлсэн байна. Үүний улмаас доод тал нь 21 хүний амь үрэгдэж, олон арван хүн шархаджээ.
 Нийслэл Киев хотод зургаан хүн алагдаж, 66 хүн шархадсаны дотор хоёр хүүхэд байгааг тус хотын дарга Виталий Кличко мэдээлжээ.</t>
  </si>
  <si>
    <t xml:space="preserve">https://ikon.mn/n/3nyj</t>
  </si>
  <si>
    <t xml:space="preserve">2026.06.04</t>
  </si>
  <si>
    <t xml:space="preserve">AI’s environmental costs threaten water, land and climate</t>
  </si>
  <si>
    <t xml:space="preserve">Хиймэл оюун ухаан нь дэлхийн дулааралд нөлөөлөх хэмжээний хүлэмжийн хийн ялгарлыг нэмэгдүүлэхээс гадна түүний байгаль орчинд үзүүлэх нөлөө хурдацтай өсөж, дэлхийн байгалийн нөөцийн тогтвортой байдалд ноцтой дарамт учруулах эрсдэлийг бий болгож байна.</t>
  </si>
  <si>
    <t xml:space="preserve">https://news.un.org/en/story/2026/06/1167658</t>
  </si>
  <si>
    <t xml:space="preserve">2026.06.08</t>
  </si>
  <si>
    <t xml:space="preserve">Афганистанд хувцаслалтын журам зөрчсөн гэж эмэгтэйчүүдийг баривчилж, жагсагчдын эсрэг хүч хэрэглэв</t>
  </si>
  <si>
    <t xml:space="preserve">Талибаны дэглэм хувцаслалтын журам зөрчсөн гэх шалтгаанаар олон арван эмэгтэйг баривчилсан ба Герат хотод үүнийг эсэргүүцсэн жагсагчид руу гал нээж, 2 хүний амь насыг хохироожээ.</t>
  </si>
  <si>
    <t xml:space="preserve">Афганистан, Герат хот</t>
  </si>
  <si>
    <t xml:space="preserve">Эмэгтэйчүүдийн эрх, Халдашгүй чөлөөтэй байх эрх, Амьд явах эрх, Үг хэлэх, үзэл бодлоо илэрхийлэх эрх</t>
  </si>
  <si>
    <t xml:space="preserve">Талибан дэглэмийн аюулгүй байдлын хүчнийхэн</t>
  </si>
  <si>
    <t xml:space="preserve">Хүний Эрхийн Манаа байгууллага (HRW)</t>
  </si>
  <si>
    <t xml:space="preserve">https://www.hrw.org/news/2026/06/11/afghanistan-taliban-use-excessive-force-against-protesters</t>
  </si>
  <si>
    <t xml:space="preserve">Жагсагчдыг "Террорист" гэж зарлан дарамталсан нь</t>
  </si>
  <si>
    <t xml:space="preserve">Пакистаны хяналтад байдаг Жамму ба Кашмир мужийн эрх баригчид 6 дугаар сарын 5-нд иргэдийн эрхийн төлөөх "Жамму ба Кашмирын хамтарсан Авами үйл ажиллагааны хороо"-г террорист байгууллагаар зарласанд Эмнести Интернэшнл түгшиж буйгаа илэрхийлэв. Энэ нь тус бүс нутагт хүний эрхийг хамгаалагчдыг олноор нь баривчлах, хүч хэрэглэх хууль эрх зүйн дарамтыг улам лавшруулсан үйлдэл болжээ.</t>
  </si>
  <si>
    <t xml:space="preserve">Пакистан</t>
  </si>
  <si>
    <t xml:space="preserve">Тайван замаар жагсах эрхийг хязгаарлах, интернет хаах, дур мэдэн баривчлах.</t>
  </si>
  <si>
    <t xml:space="preserve">Пакистаны хяналтад байдаг Жамму ба Кашмир мужийн эрх баригчид</t>
  </si>
  <si>
    <t xml:space="preserve">Amnesty international</t>
  </si>
  <si>
    <t xml:space="preserve">https://www.amnesty.org/en/latest/news/2026/06/pakistan-terrorism-designation-of-protest-movement-marks-dangerous-escalation-in-jammu-and-kashmir-crackdown/</t>
  </si>
  <si>
    <t xml:space="preserve">Сураггүй алга бологсдын гэр бүлийн эрхийг зөрчсөн нь</t>
  </si>
  <si>
    <t xml:space="preserve">Мехико хотод 2026 оны Хөлбөмбөгийн ДАШТ эхэлж буй үеэр сураггүй алга болсон хүмүүсийн ар гэр, холбоодын хийсэн тайван жагсаалыг цагдаагийн хүчээр тарааж, хүч хэрэглэсэн байна. Эмнести Интернэшнл үүнийг буруушааж, төр засаг алга болсон иргэдийг хайж буй гэр бүлүүдийн аюулгүй байдлыг хангах үүрэгтэйг сануулав.</t>
  </si>
  <si>
    <t xml:space="preserve">Мексик</t>
  </si>
  <si>
    <t xml:space="preserve">Жагсах, цуглах эрх чөлөөг хязгаарлах, хүч хэрэглэх</t>
  </si>
  <si>
    <t xml:space="preserve">Цагдаа</t>
  </si>
  <si>
    <t xml:space="preserve">https://www.amnesty.org/en/latest/news/2026/06/mexico-las-autoridades-deben-garantizar-el-derecho-a-la-protesta-pacifica-de-familias-buscadoras/</t>
  </si>
  <si>
    <t xml:space="preserve">Баримтат кино, хэвлэн нийтлэх эрх чөлөөг хавчсан явдал</t>
  </si>
  <si>
    <t xml:space="preserve">Индонезын эрх баригчид тус улс дахь хүний эрх, байгаль орчны асуудлыг хөндсөн бие даасан баримтат кино, сурвалжилгуудыг гаргахыг хориглож, уран бүтээлчдийг хавчих ажиллагаагаа эрчимжүүлснийг Хүний Эрхийн Манаа (HRW) шүүмжлэн мэдээлэв.</t>
  </si>
  <si>
    <t xml:space="preserve">Индонез</t>
  </si>
  <si>
    <t xml:space="preserve">Индонезын эрх баригчид</t>
  </si>
  <si>
    <t xml:space="preserve">2026.06.16</t>
  </si>
  <si>
    <t xml:space="preserve">“Эль-Ниньо” үзэгдэл сүүлийн 70 жилд тохиогоогүй хүчтэй болох төлөвтэй байна</t>
  </si>
  <si>
    <t xml:space="preserve">Номхон далайн халуун орны бүсэд цаг уурын “Эль-Ниньо” үзэгдэл бүрэлдэн тогтсон бөгөөд 2026 оны хоёрдугаар хагаст улам эрчимжиж, сүүлийн 70 орчим жилийн хугацаан дахь хамгийн хүчтэй үзэгдлүүдийн нэг болох төлөвтэй байгааг анхаарууллаа. </t>
  </si>
  <si>
    <t xml:space="preserve">Австралийн Цаг уурын товчоо</t>
  </si>
  <si>
    <t xml:space="preserve">https://www.montsame.mn/mn/read/402219</t>
  </si>
  <si>
    <t xml:space="preserve">Их Британи улс 16 хүртэл насны хүүхдийн сошиал медиа хэрэглээг хориглох төлөвлөгөөгөө зарлав</t>
  </si>
  <si>
    <t xml:space="preserve">Их Британи улс 16 хүртэл насны хүүхдүүдийг хортой агуулга болон дэлгэцийн өмнө хэт их цаг зарцуулахаас хамгаалахын тулд Snapchat, TikTok, YouTube зэрэг олон төрлийн сошиал медиа хэрэглээнүүдийг хориглохоор болсныг ерөнхий сайд Кир Стармер зарлажээ.</t>
  </si>
  <si>
    <t xml:space="preserve">Их Британи </t>
  </si>
  <si>
    <t xml:space="preserve">https://ikon.mn/n/3o9w</t>
  </si>
  <si>
    <t xml:space="preserve">Ж.Безос: Хиймэл оюун хүнийг орлох бус, харин илүү олон ажлын байр бий болгоно</t>
  </si>
  <si>
    <t xml:space="preserve">Хиймэл оюун нь хүмүүсийг ажилгүй болгохгүй харин ч ажиллах хүчний хэрэгцээг нэмэгдүүлнэ гэж үзэж байгаагаа “Amazon” компанийг үүсгэн байгуулагч Жефф Безос Парис хотноо болсон технологийн бага хурлын үеэр хэлжээ.</t>
  </si>
  <si>
    <t xml:space="preserve">Парис хот</t>
  </si>
  <si>
    <t xml:space="preserve">https://www.montsame.mn/mn/read/402374</t>
  </si>
  <si>
    <t xml:space="preserve">‘Stop this madness’: Rights chief warns of impending atrocities as militia closes in on El Obeid, Sudan</t>
  </si>
  <si>
    <t xml:space="preserve">НҮБ-ын Хүний эрхийн дээд комиссар Волкер Турк Суданы Хойд Кордофан мужийн төв болох Эль-Обейд хотод зэвсэгт мөргөлдөөн эрчимжиж байгаатай холбогдуулан олон улсын хамтын нийгэмлэгт яаралтай хандан, “Энэ солиорлыг зогсоо” хэмээн уриалжээ. Тэрээр тус хот руу чиглэсэн ойрын хугацааны дайралт нь олон улсын ноцтой гэмт хэрэг, хүний эрхийн томоохон гамшигт хүргэж болзошгүйг анхааруулсан байна.</t>
  </si>
  <si>
    <t xml:space="preserve">https://news.un.org/en/story/2026/06/1167752</t>
  </si>
  <si>
    <t xml:space="preserve">Gaza: Sneeze and you might get shot, warns UNICEF in alert on child killings</t>
  </si>
  <si>
    <t xml:space="preserve">UNICEF-ийн мэдээлснээр 2025 оны 10 дугаар сард гал зогсоох тохиролцоо зарлагдсанаас хойш Газын зурваст 265 палестин хүүхэд амь үрэгдсэн бөгөөд энэ нь найман сараас илүү хугацаанд дунджаар өдөр бүр нэг хүүхэд амиа алдаж байгаа гэсэн үг юм. UNICEF энэ нөхцөл байдлыг “харгис бөгөөд үхлийн аюултай хуурмаг гал зогсоох хэлэлцээр” гэж тодорхойлсон байна.</t>
  </si>
  <si>
    <t xml:space="preserve">Газын бүс</t>
  </si>
  <si>
    <t xml:space="preserve">https://news.un.org/en/story/2026/06/1167760 </t>
  </si>
  <si>
    <t xml:space="preserve">2026.06.22</t>
  </si>
  <si>
    <t xml:space="preserve">БНСУ-д гадаадын иргэдийг залилах гэмт хэрэг нэмэгджээ</t>
  </si>
  <si>
    <t xml:space="preserve">БНСУ-д гадаадын иргэд залилах гэмт хэргийн хохирогч болох тохиолдол сүүлийн хоёр жилийн дотор бараг дөрөв дахин нэмэгдсэн тухай тус улсын Үндэсний цагдаагийн газрын мэдээллээс эш татан нэгэн хууль тогтоогч ням гарагт мэдээлжээ.</t>
  </si>
  <si>
    <t xml:space="preserve">https://www.montsame.mn/mn/read/402666</t>
  </si>
  <si>
    <t xml:space="preserve">2026.06.22-06.26</t>
  </si>
  <si>
    <t xml:space="preserve">2026.06.23</t>
  </si>
  <si>
    <t xml:space="preserve">Суданд бэлгийн хүчирхийлэл газар авсныг НҮБ-ын тайлан илчлэв</t>
  </si>
  <si>
    <t xml:space="preserve">НҮБ-ын Хүний эрхийн алба Суданы зэвсэгт мөргөлдөөний үеэр охид, эмэгтэйчүүдийн эсрэг бэлгийн хүчирхийлэл, хүчирхийллийг зэвсэг болгон ашиглах явдал аймшигтай хэмжээнд хүрснийг баримтжуулав. Хохирогчдын дунд 9 настай хүүхэд ч байжээ.</t>
  </si>
  <si>
    <t xml:space="preserve">Судан</t>
  </si>
  <si>
    <t xml:space="preserve">Амьд явах эрх, Халдашгүй чөлөөтэй байх эрх, Бэлгийн хүчирхийллээс ангид байх эрх</t>
  </si>
  <si>
    <t xml:space="preserve">Мөргөлдөгч талууд, зэвсэгт бүлэглэлүүд</t>
  </si>
  <si>
    <t xml:space="preserve">НҮБ-ын Хүний эрхийн дээд комиссарын алба (OHCHR)</t>
  </si>
  <si>
    <t xml:space="preserve">OHCHR Press Release</t>
  </si>
  <si>
    <t xml:space="preserve">2026.06.25</t>
  </si>
  <si>
    <t xml:space="preserve">Турк улс сөрөг хүчин болон хэвлэл мэдээллийг хавчин боомилж байна</t>
  </si>
  <si>
    <t xml:space="preserve">Туркийн эрх баригчид Истанбул хотын дарга, сөрөг хүчний нэр дэвшигчийг шүүж, 21 сэтгүүлчийг хорьсон төдийгүй Прайд сартай холбоотойгоор ЛГБТ болон эмэгтэйчүүдийн эрхийн байгууллагуудын Х (Twitter) цахим хуудсуудыг дур мэдэн хаажээ.</t>
  </si>
  <si>
    <t xml:space="preserve">Турк</t>
  </si>
  <si>
    <t xml:space="preserve">Үг хэлэх, хэвлэн нийтлэх эрх чөлөө, Үзэл бодлоо илэрхийлэх эрх, Эвлэлдэн нэгдэх эрх</t>
  </si>
  <si>
    <t xml:space="preserve">Турк улсын засгийн газар, шүүх эрх мэдэлтнүүд</t>
  </si>
  <si>
    <t xml:space="preserve">Хүний Эрхийн Манаа (HRW)</t>
  </si>
  <si>
    <t xml:space="preserve">Human Rights Watch Turkey</t>
  </si>
  <si>
    <t xml:space="preserve">2026.06.24</t>
  </si>
  <si>
    <t xml:space="preserve">Израил улс Палестин хүүхдүүдийн эсрэг харгис гэмт хэрэг үйлдсээр байна</t>
  </si>
  <si>
    <t xml:space="preserve">НҮБ-ын Хараат бус олон улсын мөрдөн шалгах комисс Израил улсыг Палестины ирээдүйг устгах зорилгоор хүүхдүүдийг зориуд онилж, амь насыг нь хохироож, олон улсын хүмүүнлэгийн хуулийг бүдүүлгээр зөрчиж байна гэж мэдэгдэв.</t>
  </si>
  <si>
    <t xml:space="preserve">Палестин (Газын зурвас)</t>
  </si>
  <si>
    <t xml:space="preserve">Хүүхдийн амьд явах эрх, Хамгаалагдах эрх, Хүмүүнлэгийн эрх хууль</t>
  </si>
  <si>
    <t xml:space="preserve">Израилын аюулгүй байдлын хүчний цэргийн ангиуд</t>
  </si>
  <si>
    <t xml:space="preserve">НҮБ-ын Хүний эрхийн зөвлөл</t>
  </si>
  <si>
    <t xml:space="preserve">UN Information System</t>
  </si>
  <si>
    <t xml:space="preserve">АНУ-ын цагаачдын саатуулах байранд нас барах явдал эрс нэмэгдэв</t>
  </si>
  <si>
    <t xml:space="preserve">Трампын хоёр дахь бүрэн эрхийн хугацаа эхэлснээс хойш Цагаачлал, гаалийн хяналтын (ICE) саатуулах байранд 52 хүн нас барж, нас баралтын түвшин 140%-иар өсчээ. Саатуулагдсан иргэдэд эмнэлгийн тусламж үзүүлээгүй, хүний эрхийг зөрчсөн явдал гарсаар байна.</t>
  </si>
  <si>
    <t xml:space="preserve">АНУ</t>
  </si>
  <si>
    <t xml:space="preserve">Амьд явах эрх, Эрүүл мэнд, эмнэлгийн тусламж авах эрх</t>
  </si>
  <si>
    <t xml:space="preserve">АНУ-ын Цагаачлал, гаалийн хяналтын алба (ICE), Хувийн шоронгийн гүйцэтгэгчид</t>
  </si>
  <si>
    <t xml:space="preserve">HRW Report</t>
  </si>
  <si>
    <t xml:space="preserve">Иордан улс цаазын ялыг сэргээж, 6 хүнийг цаазаар авав</t>
  </si>
  <si>
    <t xml:space="preserve">Иордан улс терроризмын хэрэгт буруутгагдсан 6 иргэнийг тусгай Аюулгүй байдлын шүүхээр олон улсын шударга шүүхийн стандарт, журмыг хангалттай дагаж мөрдөлгүйгээр цаазаар авсан байна.</t>
  </si>
  <si>
    <t xml:space="preserve">Иордан</t>
  </si>
  <si>
    <t xml:space="preserve">Амьд явах эрх, Шударга шүүхээр шүүгдэх эрх</t>
  </si>
  <si>
    <t xml:space="preserve">Иорданы Аюулгүй байдлын шүүх, шүүх засаглал</t>
  </si>
  <si>
    <t xml:space="preserve">Human Rights Watch Jordan</t>
  </si>
  <si>
    <t xml:space="preserve">Global peace index 2026</t>
  </si>
  <si>
    <t xml:space="preserve">2026 оны Дэлхийн энх тайвны индексээр Монгол Улс өмнөх жилийнхээс дөрвөн байраар урагшилж, 163 улсаас 34 дүгээрт бичигджээ.</t>
  </si>
  <si>
    <t xml:space="preserve">Олон улсын индекс</t>
  </si>
  <si>
    <t xml:space="preserve">Vision of Humanity</t>
  </si>
  <si>
    <t xml:space="preserve">https://www.visionofhumanity.org/maps/?gad_source=1&amp;gad_campaignid=22116084622&amp;gbraid=0AAAAADmneRZc0ajDaNrT9ULPtjwi5cYQH&amp;gclid=CjwKCAjwmJjSBhB-EiwAkZgxi3GrazTIfu5C9zCXJrLf0slPuQelRDnEmcbh80aGEw9UL--Msp7jbhoC9ZoQAvD_BwE#/</t>
  </si>
  <si>
    <t xml:space="preserve">Израил улс Палестины хүүхдүүдийг зориуд онилох замаар Газын зурваст геноцид үйлдэж байгааг НҮБ хүлээн зөвшөөрөв</t>
  </si>
  <si>
    <t xml:space="preserve">Палестины эзлэгдсэн нутаг дэвсгэрийн талаарх Мөрдөн байгуулах комиссын дарга Сринивасан Муралидхар НҮБ-ын Хүний эрхийн зөвлөлд тайлагнахдаа, Израиль Палестины хүүхдүүдийг зориудаар онилж, геноцид болон бусад харгислалын гэмт хэрэг үйлдсээр байна гэж мэдэгдэв.</t>
  </si>
  <si>
    <t xml:space="preserve">Палестины эзлэгдсэн нутаг дэвсгэр, Газын зурвас</t>
  </si>
  <si>
    <t xml:space="preserve">Амьд явах эрх, хүүхдийн эрх</t>
  </si>
  <si>
    <t xml:space="preserve">Израиль улс</t>
  </si>
  <si>
    <t xml:space="preserve">OHCHR
IKON</t>
  </si>
  <si>
    <t xml:space="preserve">https://news.un.org/en/story/2026/06/1167790
https://ikon.mn/n/3oh9</t>
  </si>
  <si>
    <t xml:space="preserve">Global: UN drug control bodies must take urgent action towards ending unlawful use of the death penalty for drug-related offences</t>
  </si>
  <si>
    <t xml:space="preserve">Олон улсын мансууруулах бодистой тэмцэх өдрийг (6 дугаар сарын 26) тохиолдуулан Amnesty International болон Harm Reduction International хамтарсан мэдэгдэл гаргаж, НҮБ-ын Мансууруулах бодис, гэмт хэрэгтэй тэмцэх алба (UNODC) болон Мансууруулах бодисын асуудал эрхэлсэн комисс (CND)-ыг мансууруулах бодистой холбоотой гэмт хэрэгт цаазаар авах ялыг хууль бусаар хэрэглэж буйг яаралтай буруушааж, НҮБ-ын гишүүн орнуудтай хамтран энэхүү харгис ялыг бүрмөсөн халуулахын төлөө бодит арга хэмжээ авахыг уриалав.</t>
  </si>
  <si>
    <t xml:space="preserve">https://www.amnesty.org/en/latest/news/2026/06/global-un-drug-control-bodies-must-take-urgent-action-towards-ending-unlawful-use-of-the-death-penalty-for-drug-related-offences/</t>
  </si>
  <si>
    <t xml:space="preserve">2026.06.028</t>
  </si>
  <si>
    <t xml:space="preserve">2027-2036 оныг "Ирээдүй хойч үеийнхний төлөө энх тайвныг бэхжүүлэх арван жил" болгон зарлалаа</t>
  </si>
  <si>
    <t xml:space="preserve">НҮБ-ын Ерөнхий Ассамблейгаас Тажикистан улсын санаачилсан "Ирээдүй хойч үеийнхний төлөө энх тайвныг бэхжүүлэх олон улсын арван жил" нэртэй тогтоолыг баталжээ.</t>
  </si>
  <si>
    <t xml:space="preserve">Дэлхийн энх тайван </t>
  </si>
  <si>
    <t xml:space="preserve">https://www.montsame.mn/mn/read/403293</t>
  </si>
  <si>
    <t xml:space="preserve">Европыг дайрсан агаарын хэт халалт 1,300 хүний үхэлтэй холбоотойг ДЭМБ мэдээлжээ</t>
  </si>
  <si>
    <t xml:space="preserve">Дэлхийн Эрүүл Мэндийн Байгууллагын (ДЭМБ) тэргүүн Тедрос Адханом Гебрейесус зургаадугаар сарын 21-нээс хойш ердийн үетэй харьцуулахад Европ тивд 1,300 гаруй хүн илүү нас барсныг агаарын хэт халалттай холбоотой гэж сошиал хуудсаараа мэдэгдсэн байна.</t>
  </si>
  <si>
    <t xml:space="preserve">Баруун Европ</t>
  </si>
  <si>
    <t xml:space="preserve">https://ikon.mn/n/3ol5</t>
  </si>
  <si>
    <t xml:space="preserve">Sudan: Human Rights Council to hold urgent debate on 3 July on the human rights situation in and around El Obeid</t>
  </si>
  <si>
    <t xml:space="preserve">Судан улсын Хойд Кордофан мужийн Эль-Обейд хот болон түүний орчмын хүний эрхийн нөхцөл байдал хурцдах эрсдэлтэй байгаа бөгөөд 500,000 энгийн иргэн гэмт хэргийн бай болж болзошгүй тул НҮБ-ын Хүний эрхийн зөвлөл 7-р сарын 3-нд яаралтай хэлэлцүүлэг хийхээр боллоо. Дрон довтолгооны улмаас түлш, ус тасарч, хотыг бүслэн авчээ.</t>
  </si>
  <si>
    <t xml:space="preserve">Судан улс, Хойд Кордофан муж, Эль-Обейд хот</t>
  </si>
  <si>
    <t xml:space="preserve">Амьд явах, эрүүл аюулгүй орчинд амьдрах эрх</t>
  </si>
  <si>
    <t xml:space="preserve">OHCHR</t>
  </si>
  <si>
    <t xml:space="preserve">https://www.ohchr.org/en/press-releases/2026/06/sudan-human-rights-council-hold-urgent-debate-3-july-human-rights-situation</t>
  </si>
  <si>
    <t xml:space="preserve">АНУ-ын прокурор долоон настай, 116 кг жинтэй хүүгийн үхэлд эцэг эхийг нь буруутгажээ</t>
  </si>
  <si>
    <t xml:space="preserve">Өнгөрсөн оны арваннэгдүгээр сард Флинт хот дахь гэртээ Каспер О’Брайен нэртэй хүүгийн зүрх зогсоход эцэг эх нь түргэн тусламж дуудсанаар орон нутгийн хуулийн байгууллага хүн амины хэрэг үүсгэн шалгаж эхэлсэн бөгөөд хүү нас барах үедээ 116 кг жинтэй байжээ.
Үүнтэй холбоотойгоор “Эцэг эх нь хүүхдийг буруу хооллож байсныг тогтоосон. Тэр шаардлагатай шим тэжээлээ авч чадаагүй” гэж Даваа гарагт болсон хэвлэлийн хурлын үеэр прокурор Дэвид Лэйтон мэдэгджээ.</t>
  </si>
  <si>
    <t xml:space="preserve">АНУ, Мичиган муж</t>
  </si>
  <si>
    <t xml:space="preserve">Хүүгийн эцэг эх болох 40 настай Дамиен О’Брайен, 41 настай Жессика О’Брайен нар</t>
  </si>
  <si>
    <t xml:space="preserve">https://ikon.mn/n/3oni</t>
  </si>
  <si>
    <t xml:space="preserve">Венесуэлд долоо хоногийн гашуудал зарлажээ</t>
  </si>
  <si>
    <t xml:space="preserve">Венесуэлд дараалан хоёр удаа хүчтэй газар хөдөлсний улмаас амиа алдсан хүний тоо 2295-д хүрч, 11 267 хүн бэртэж гэмтэж, 13 мянга орчим хүн орон гэргүй болсон тухай тус улсын эрх баригчид мэдээлсэн бөгөөд газар хөдлөлтийн улмаас амиа алдсан хүмүүсийн дурсгалыг хүндэтгэн орон нутгийн цагаар долоодугаар сарын 1-ний 18:00 цагаас эхлэн долоо хоногийн үндэсний гашуудал зарлажээ.</t>
  </si>
  <si>
    <t xml:space="preserve">Венесуэл улс</t>
  </si>
  <si>
    <t xml:space="preserve">Гэнэтийн осол, байгулийн давагдашгүй хичн зүйл</t>
  </si>
  <si>
    <t xml:space="preserve">https://www.montsame.mn/mn/read/403731</t>
  </si>
  <si>
    <t xml:space="preserve">2026.07.03</t>
  </si>
  <si>
    <t xml:space="preserve">2026.07.02-03</t>
  </si>
  <si>
    <t xml:space="preserve">Оросын томоохон агаарын цохилтын улмаас Киев хотод 21 хүний амь үрэгдэв</t>
  </si>
  <si>
    <t xml:space="preserve">Пүрэв гарагийн шөнө Оросын арми Украины нийслэл Киев хот руу хэдэн зуун нисгэгчгүй онгоц, хэдэн арван пуужингаар довтолсон нь энэ дайны хамгийн том агаарын дайралтуудын нэг болжээ. Үүний улмаас Киев хотод 130 орчим барилга байгууламж сүйрч, доод тал нь 21 хүний амь үрэгдсэн байна.</t>
  </si>
  <si>
    <t xml:space="preserve">Украины нийслэл Киев хот</t>
  </si>
  <si>
    <t xml:space="preserve">Амвд явах, халдашгүй чөлөөтэй байх нрх</t>
  </si>
  <si>
    <t xml:space="preserve">ОХУ-ын арми</t>
  </si>
  <si>
    <t xml:space="preserve">https://ikon.mn/n/3opo</t>
  </si>
  <si>
    <t xml:space="preserve">2026.07.10-07.31</t>
  </si>
  <si>
    <t xml:space="preserve">2026.07.23-07.29</t>
  </si>
  <si>
    <t xml:space="preserve">Alarmed by worsening West Bank violence, revenge calls by Israeli leaders /Баруун эрэг дэх хүчирхийлэл хурцдаж, Израилийн удирдагчид өшөө авахыг уриалав/</t>
  </si>
  <si>
    <t xml:space="preserve">НҮБ-ын Хүний эрхийн дээд комиссарын газар Баруун эрэг дэх нөхцөл байдал улам дордож байгааг анхааруулав. Өнгөрсөн Пүрэв гарагаас хойш нэг хүүхэд оролцсон найман палестин, Израилийн армийн хоёр алба хаагч амь үрэгджээ. Суурьшигчид болон Израилийн аюулгүй байдлын хүчин ихэвчлэн хамтран орон нутгийн иргэдэд халдаж, гэр бүлүүдийг зодож, эд хөрөнгийг устгаж, хураан авч, сүм хийдийг шатаасан. Долдугаар сарын 24-ний байдлаар энэ онд суурьшигчдын халдлагаар 76 палестин, нэг израиль иргэн нас барсан бөгөөд эхний дөрвөн сард сард дунджаар 190 халдлага бүртгэгдэж, есөн суурин газрын 700 орчим палестин нүүлгэн шилжүүлэгджээ. Чөлөөтэй зорчих хязгаарлалт чангарч, палестинчууд зайлшгүй шаардлагатай үйлчилгээ авах боломжгүй болсон.</t>
  </si>
  <si>
    <t xml:space="preserve">Палестины эзлэгдсэн нутаг дэвсгэр, Баруун эрэг</t>
  </si>
  <si>
    <t xml:space="preserve">Амьд явах эрх, халдашгүй чөлөөтэй байх эрх, өмч хөрөнгөө эзэмших эрх, шашин шүтэх, эс шүтэх эрх чөлөө, чөлөөтэй зорчих эрх, эрүүл мэнд, боловсролын үйлчилгээ авах эрх, хүүхдийн эрх</t>
  </si>
  <si>
    <t xml:space="preserve">Израилийн Засгийн газар, суурьшигчид, Израилийн аюулгүй байдлын хүчин</t>
  </si>
  <si>
    <t xml:space="preserve">OHCHR /НҮБ-ын Хүний эрхийн дээд комиссарын газар/, UN News</t>
  </si>
  <si>
    <t xml:space="preserve"> https://news.un.org/en/story/2026/07/1168045</t>
  </si>
  <si>
    <t xml:space="preserve">2026.01-2026.07</t>
  </si>
  <si>
    <t xml:space="preserve">Uganda: crackdown on fundamental freedoms /Уганда: Үндсэн эрх чөлөөний хязгаарлалт/</t>
  </si>
  <si>
    <t xml:space="preserve">НҮБ-ын Хүний эрхийн дээд комиссарын газраас Уганда улсад айдсын уур амьсгал газар авч байгааг анхааруулав. Нэгдүгээр сард болсон ерөнхий сонгуулиас хойш Засгийн газрыг эсэргүүцэгч гэж үзсэн хүмүүсийн эсрэг албадан алга болгох, эрүүдэн шүүх, дур мэдэн баривчлах зэрэг зөрчил нэмэгджээ. Сүүлийн саруудад сөрөг хүчний дор хаяж 50 удирдагч, дэмжигч, хүний эрхийн таван хамгаалагч, таван сэтгүүлч хүчирхийлэл, дарамтад өртсөн гэж мэдээлсэн.</t>
  </si>
  <si>
    <t xml:space="preserve">Уганда улс</t>
  </si>
  <si>
    <t xml:space="preserve">Амьд явах эрх, эрүүдэн шүүх, хэрцгий харьцахаас ангид байх эрх, дур мэдэн баривчлагдахгүй байх эрх, албадан алга болгохоос хамгаалуулах эрх, үзэл бодлоо илэрхийлэх, эвлэлдэн нэгдэх эрх чөлөө, хэвлэлийн эрх чөлөө</t>
  </si>
  <si>
    <t xml:space="preserve">Уганда Улсын Засгийн газар, аюулгүй байдлын байгууллагууд</t>
  </si>
  <si>
    <t xml:space="preserve">OHCHR, UN News</t>
  </si>
  <si>
    <t xml:space="preserve">https://news.un.org/en/story/2026/07/1168057</t>
  </si>
  <si>
    <t xml:space="preserve">Returning Afghans face growing risk of trafficking as crises deepen /Эх орондоо буцаж буй афганчууд хүний наймааны эрсдэлд өртөж байна/</t>
  </si>
  <si>
    <t xml:space="preserve">НҮБ-ын Мансууруулах бодис, гэмт хэрэгтэй тэмцэх алба болон Олон улсын цагаачлалын байгууллага Хүний наймаатай тэмцэх дэлхийн өдрөөр хамтарсан мэдэгдэл гаргав. Иран, Пакистанаас олноор албадан буцаагдаж буй байдал, хүмүүнлэгийн тусламж багасах, хөдөөгийн эдийн засаг сүйрэх, байгалийн гамшиг, эмэгтэйчүүд, охидын эрхэд тавьсан хязгаарлалт нь хүний наймаа, мөлжлөгт өртөх эрсдэлийг нэмэгдүүлж байна. Судалгаанд хамрагдсан буцаж ирэгсдийн ердөө 11 хувь нь бүрэн ажил эрхэлж байсан бол 56 хувь нь өрхийн наад захын хэрэгцээгээ хангаж чадахгүй, тал орчим нь зээл, тусламжаар амьдарч байгаа нь албадан хөдөлмөр, өрийн боолчлолын эрсдэлийг нэмэгдүүлж байна.</t>
  </si>
  <si>
    <t xml:space="preserve">Афганистан улс /Иран, Пакистанаас буцаж буй иргэд/</t>
  </si>
  <si>
    <t xml:space="preserve">Хүний наймаанд өртөхгүй байх эрх, албадан хөдөлмөрөөс ангид байх эрх, зохистой амьжиргааны түвшинд амьдрах эрх, эмэгтэйчүүд, охидын эрх, хүүхдийн эрх</t>
  </si>
  <si>
    <t xml:space="preserve">Хүний наймааны сүлжээ, зохион байгуулалттай гэмт бүлэглэл; эмэгтэйчүүдийн эрхийг хязгаарласан бодлого хэрэгжүүлэгч тал</t>
  </si>
  <si>
    <t xml:space="preserve">UNODC, IOM, UN News</t>
  </si>
  <si>
    <t xml:space="preserve">https://news.un.org/en/story/2026/07/1168051</t>
  </si>
  <si>
    <t xml:space="preserve">2026.07.29-07.30</t>
  </si>
  <si>
    <t xml:space="preserve">Испани улс Сеута хотод цэрэг дайчилж, хилээр нэвтрэхийг завдсан дор хаяж 9 хүн амиа алдав</t>
  </si>
  <si>
    <t xml:space="preserve">Мороккогийн хилээс Испанийн Сеута нутаг дэвсгэрт мянга мянган цагаач нэвтэрч, хилийн хашлагыг давсны улмаас дор хаяж есөн хүн амиа алдав. Ихэнх нь далайгаар сэлж нэвтрэхийг оролдож байгаад амь үрэгдсэн бөгөөд цогцоснууд усан дээр хөвж байгааг гэрчүүд мэдээлэв. Испанийн Засгийн газар Иргэний хамгаалалтын байгууллагыг дэмжих зорилгоор Зэвсэгт хүчнийг дайчлахаар шийдвэрлэсэн. Сеутагийн удирдлага “хүмүүнлэгийн болон нийгмийн онц байдал” үүссэнийг зарлав. Энэ сард Испанийн Дээд шүүх далайд саатуулсан цагаачдыг хураангуй журмаар буцаах боломжгүй гэж шийдвэрлэсэн байна.</t>
  </si>
  <si>
    <t xml:space="preserve">Испани улс, Сеута хот; Морокко улс</t>
  </si>
  <si>
    <t xml:space="preserve">Амьд явах эрх, орогнол хүсэх эрх, хүчээр буцаахгүй байх зарчим /non-refoulement/, хүнлэг бус харьцаанаас ангид байх эрх, хүүхэд, эмзэг бүлгийн эрх</t>
  </si>
  <si>
    <t xml:space="preserve">Испани, Мороккогийн хил хамгаалалтын байгууллагууд; хүний наймаа, хууль бус нэвтрүүлэлт зохион байгуулагчид</t>
  </si>
  <si>
    <t xml:space="preserve">AP, CNN, France24, </t>
  </si>
  <si>
    <t xml:space="preserve">https://www.france24.com/en/europe/20260730-hundreds-of-migrants-enter-spain-north-african-territory-ceuta-from-morocco </t>
  </si>
  <si>
    <t xml:space="preserve">2026.07.26-07.30</t>
  </si>
  <si>
    <t xml:space="preserve">Балбад шашин хоорондын мөргөлдөөний улмаас гурван хүн амь үрэгдэв</t>
  </si>
  <si>
    <t xml:space="preserve">Балба улсын өмнөд хэсэгт хинду болон мусульман бүлгийн хооронд мөргөлдөөн гарч 3 хүн нас барав. Хүчирхийлэл Ням гарагт Энэтхэгийн хилийн ойролцоох Сунсари дүүргийн тосгонд хинду шашны жагсаалын үеэр чанга хөгжим, шашны туг далбааны асуудлаар маргалдсанаас эхэлжээ. Цагдаа олныг тараахаар гал нээж хоёр эрэгтэйг алсан бол гуравдахь хүн Пүрэв гарагт хөл хорио тогтоосон байхад Сираха дүүрэгт болсон эсэргүүцлийн жагсаалын үеэр амь үрэгдсэн. Хэд хэдэн хотод хөл хорио тогтоож, интернэт үйлчилгээнд хяналт тавьж, нэмэлт аюулгүй байдлын хүчин байршуулав.</t>
  </si>
  <si>
    <t xml:space="preserve">Балба улс, Сунсари болон Сираха дүүрэг</t>
  </si>
  <si>
    <t xml:space="preserve">Амьд явах эрх, шашин шүтэх, эс шүтэх эрх чөлөө, тайван жагсаал цуглаан хийх эрх, мэдээлэл хайх, хүлээн авах эрх чөлөө, хууль сахиулах ажиллагаанд хүч хэрэглэхэд тавих хязгаарлалт</t>
  </si>
  <si>
    <t xml:space="preserve">Цагдаагийн байгууллага /хэт хүч хэрэглэсэн байж болзошгүй/, мөргөлдөгч бүлгүүд</t>
  </si>
  <si>
    <t xml:space="preserve">Al Jazeera, МҮОНРТ</t>
  </si>
  <si>
    <t xml:space="preserve">https://www.aljazeera.com/news/2026/7/31/nepals-pm-urges-calm-as-three-people-killed-after-hindu-muslim-unrest </t>
  </si>
  <si>
    <t xml:space="preserve">2026.01.07-2026.07.29</t>
  </si>
  <si>
    <t xml:space="preserve">Vietnam: Quash Conviction of Social Media Commentator /Вьетнам: Сошиал сүлжээнд шүүмжилсэн иргэнд 6 жилийн хорих ял оноов/</t>
  </si>
  <si>
    <t xml:space="preserve">2026 оны 07 сарын 29-нд Ханой хотын шүүх Хоанг Тхи Хонг Тхай хэмээх эмэгтэйд 6 жилийн хорих ял оноов. Түүнийг 01 сарын 07-нд Вьетнамын Засгийн газрыг шүүмжилсэн сошиал сүлжээний сэтгэгдлийнх нь улмаас баривчилж, Эрүүгийн хуулийн 117 дугаар зүйлээр “төрийн эсрэг суртал ухуулга” хийсэн гэж буруутгасан. Хүний эрхийн Манаа байгууллага уг ялыг хүчингүй болгохыг шаардав.</t>
  </si>
  <si>
    <t xml:space="preserve">Вьетнам улс, Ханой хот</t>
  </si>
  <si>
    <t xml:space="preserve">Үзэл бодлоо чөлөөтэй илэрхийлэх эрх, шударга шүүхээр шүүлгэх эрх, дур мэдэн баривчлагдахгүй байх эрх</t>
  </si>
  <si>
    <t xml:space="preserve">Вьетнам Улсын шүүх, цагдаагийн байгууллага</t>
  </si>
  <si>
    <t xml:space="preserve">Human Rights Watch /Хүний эрхийн Манаа/</t>
  </si>
  <si>
    <t xml:space="preserve">https://www.hrw.org/news/2026/07/29/vietnam-quash-conviction-of-social-media-commentator</t>
  </si>
  <si>
    <t xml:space="preserve">2026.04-2026.07</t>
  </si>
  <si>
    <t xml:space="preserve">Хонг Конг: Үндэсний аюулгүй байдлын цагдаа бие даасан номын дэлгүүрүүдэд нэгжлэг хийж, таван хүнийг баривчлав</t>
  </si>
  <si>
    <t xml:space="preserve">Hong Kong Watch байгууллагын2026 оны 07 сарын тоймд дурдсанаар Үндэсний аюулгүй байдлын цагдаагийн байгууллага 4 сарын хугацаанд3 дахь удаагаа бие даасан номын дэлгүүрүүдэд нэгжлэг хийж, таван хүнийг баривчилж, хураан авсан номыг хайрцаглан авчээ. Мөн сард шүүхээс үндэсний аюулгүй байдал, эвдрэлцүүлэх гэмт хэргийн олон шийдвэр гарсан бөгөөд оюуны хөгжлийн бэрхшээлтэй зөөгчийг улс төрийн нам сурталчилсан хэргээр хорих ял оноосон.</t>
  </si>
  <si>
    <t xml:space="preserve">Хонг Конг /БНХАУ/</t>
  </si>
  <si>
    <t xml:space="preserve">Үзэл бодлоо чөлөөтэй илэрхийлэх эрх, мэдээлэл хайх, хүлээн авах эрх чөлөө, шударга шүүхээр шүүлгэх эрх, хөгжлийн бэрхшээлтэй хүний эрх</t>
  </si>
  <si>
    <t xml:space="preserve">Хонг Конгийн үндэсний аюулгүй байдлын цагдаа, шүүх эрх мэдэл</t>
  </si>
  <si>
    <t xml:space="preserve">Hong Kong Watch</t>
  </si>
  <si>
    <t xml:space="preserve">https://www.hongkongwatch.org/all-posts/2026/30/7/hong-kong-watch-briefing-on-human-rights-developments-july-2026</t>
  </si>
  <si>
    <t xml:space="preserve">Мьянмар улс Малайз дахь 5,000 Рохинжа орогнол хүсэгчийг буцаан авахаар тохиролцов</t>
  </si>
  <si>
    <t xml:space="preserve">Малайзын Ерөнхий сайд Анвар Ибрахим Мьянмар улс Малайз дахь 5,000 Рохинжа орогнол хүсэгчийг хүлээн авахаар тохиролцсоныг мэдэгдэв. Тэднийг сонгон шалгаруулж, бүртгэсний дараа буцаах ажиллагааг зохицуулна. Малайз нь Мьянмар дахь хавчлагаас зугтсан Рохинжачуудын хувьд аюулгүй хоргодох газар гэж үзэгддэг байсан тул уг шийдвэр хүний эрхийн эрсдэл дагуулж болзошгүй.</t>
  </si>
  <si>
    <t xml:space="preserve">Малайз, Мьянмар улс</t>
  </si>
  <si>
    <t xml:space="preserve">Орогнол хүсэх эрх, хүчээр буцаахгүй байх зарчим /non-refoulement/, амьд явах эрх, үндэс угсаа, шашны ялгаварлалаас хамгаалуулах эрх</t>
  </si>
  <si>
    <t xml:space="preserve">Малайз, Мьянмарын эрх бүхий байгууллагууд</t>
  </si>
  <si>
    <t xml:space="preserve">Reuters, Just Security</t>
  </si>
  <si>
    <t xml:space="preserve">https://www.justsecurity.org/150442/early-edition-july-30-2026-2/</t>
  </si>
  <si>
    <t xml:space="preserve">2026.08.01-08.07</t>
  </si>
  <si>
    <t xml:space="preserve">2026.08.04</t>
  </si>
  <si>
    <t xml:space="preserve">Сошиал медиаг эрт хэрэглэж эхэлсэн хүүхдүүд хожуу эхэлсэн хүүхдүүдээс сурлагаар хоцордгийг судлаачид тогтоожээ</t>
  </si>
  <si>
    <t xml:space="preserve">
Дунд сургуулийн эхэнд сошиал медиа хэрэглэж эхэлсэн хүүхдүүд хэдэн жилийн хойно хэрэглэж эхэлсэн хүүхдүүдээс сурлагаар хоцордгийг Италийн судлаачид тогтоожээ.
Тухайлбал 11-12 насандаа сошиал медиа хэрэглэж эхэлсэн сурагчид хэдэн жил хоцорч эхэлсэн сурагчидтай харьцуулахад математик болон хэл бичгийн шалгалтад муу үнэлгээ авч байсан байна.</t>
  </si>
  <si>
    <t xml:space="preserve">Итали улс</t>
  </si>
  <si>
    <t xml:space="preserve">Сурч боловсрох эрх</t>
  </si>
  <si>
    <t xml:space="preserve">https://ikon.mn/n/3pdg</t>
  </si>
  <si>
    <t xml:space="preserve">UN expert: Respect for human rights key to resolving multiple crises in Cambodia</t>
  </si>
  <si>
    <t xml:space="preserve">НҮБ-ын Камбож дахь хүний эрхийн асуудал хариуцсан Тусгай илтгэгч Том Эндрюс Камбож улс Тайландтай үүссэн хилийн мөргөлдөөн, цахим залилангийн гэмт хэрэг, ойрын жилүүдэд болох сонгуулиудтай холбоотойгоор хүний эрхийн ноцтой сорилтуудтай тулгарч байгааг онцоллоо.
Тэрээр үзэл бодлоо илэрхийлэх, тайван жагсах, эвлэлдэн нэгдэх эрхээ хэрэгжүүлсний төлөө 100 гаруй хүн хоригдож болзошгүй байгаад санаа зовниж, хэн ч үндсэн эрхээ эдэлснийхээ төлөө хоригдох ёсгүйг тэмдэглэв.</t>
  </si>
  <si>
    <t xml:space="preserve">Камбож улс</t>
  </si>
  <si>
    <t xml:space="preserve">НҮБ-ын Хүний эрхийн дээд комиссарын газар(OHCHR)</t>
  </si>
  <si>
    <t xml:space="preserve">https://www.ohchr.org/en/press-releases/2026/08/un-expert-respect-human-rights-key-resolving-multiple-crises-cambodia?utm_source=chatgpt.com</t>
  </si>
  <si>
    <t xml:space="preserve">Strengthening El Niño to push 49 million more people into acute hunger</t>
  </si>
  <si>
    <t xml:space="preserve">
Эль-Ниньо үзэгдлийн улмаас дэлхий даяар эмзэг бүлгийн 50 сая орчим хүн цочмог өлсгөлөнд нэрвэгдэх төлөвтэй байна гэж НҮБ-ын Дэлхийн хүнсний хөтөлбөр (WFP) лхагва гарагт мэдэгдэв.</t>
  </si>
  <si>
    <t xml:space="preserve">Төв Америк болон Өмнөд Африк</t>
  </si>
  <si>
    <t xml:space="preserve">https://news.un.org/en/story/2026/08/1168079</t>
  </si>
  <si>
    <t xml:space="preserve">2026.08.07</t>
  </si>
  <si>
    <t xml:space="preserve">Энэтхэгийн дээд шүүх явган зорчигчийн замаар аюулгүй алхах нь хүний үндсэн эрх болохыг зарлажээ</t>
  </si>
  <si>
    <t xml:space="preserve">Энэтхэгийн дээд шүүх зургаадугаар сарын 19-ний өдөр явган хүний замаар аюулгүй зорчих нь хүний үндсэн эрх мөн болохыг зарлан тунхаглажээ. Ингэснээр хотуудын эрх баригчид явган зорчигчийн замуудад анхаарал тавьж, аюулгүй байдлыг нь хангах үүрэгтэй болж байгаа юм. Аавтайгаа хамт сургууль руугаа явган явж байсан таван настай хүү ачааны автомашинд мөргүүлсэн эмгэнэлт явдлын дараа дээд шүүх ийм арга хэмжээ авахад хүрчээ.</t>
  </si>
  <si>
    <t xml:space="preserve">Энэтхэг улс</t>
  </si>
  <si>
    <t xml:space="preserve">Аюулгүй орчинд амьдрах эрх</t>
  </si>
  <si>
    <t xml:space="preserve">https://ikon.mn/n/3pgo</t>
  </si>
  <si>
    <t xml:space="preserve">Франц: Хэрэглэгчдийн зөвшөөрөлгүйгээр гар утас руу нь зарын шинжтэй дуудлага хийхийг хориглоно</t>
  </si>
  <si>
    <t xml:space="preserve">Тухайн хүн урьдчилан зөвшөөрөөгүй тохиолдолд түүний утсанд зар сурталчилгааны шинжтэй дуудлага хийхийг хориглох тухай шинэ журам энэ сарын 11-ний өдрөөс Франц улсад хэрэгжиж эхэлнэ. Зарын шинжтэй дуудлагын тоог цөөлөх, иргэдийг гар утасны маркетинг болон луйвраас хамгаалахын тулд ийм арга хэмжээ авч байгаагаа эрх баригчид мэдэгджээ.  </t>
  </si>
  <si>
    <t xml:space="preserve">Франц улс</t>
  </si>
  <si>
    <t xml:space="preserve">Халдашгүй, чөлөөтэй байх эрх, мэдээллийн эзний эрх</t>
  </si>
  <si>
    <t xml:space="preserve">https://www.montsame.mn/mn/read/406316</t>
  </si>
  <si>
    <t xml:space="preserve">2026.08.08-08.14</t>
  </si>
  <si>
    <t xml:space="preserve">2026.08.10</t>
  </si>
  <si>
    <t xml:space="preserve">2026.07 сард</t>
  </si>
  <si>
    <t xml:space="preserve">UN experts condemn escalation in attacks against Palestinians in Gaza and West Bank</t>
  </si>
  <si>
    <t xml:space="preserve">ЖЕНЕВ – НҮБ-ын шинжээчид өнөөдөр долдугаар сард Палестины эзлэгдсэн нутаг дэвсгэрт Палестины энгийн иргэдийн эсрэг халдлага огцом нэмэгдэж, хүний ​​эрхийн сүйрлийн нөхцөл байдал огцом доройтсоныг буруушааж байна.</t>
  </si>
  <si>
    <t xml:space="preserve">Палестин</t>
  </si>
  <si>
    <t xml:space="preserve">Израйль улсын эрх баригчид</t>
  </si>
  <si>
    <t xml:space="preserve">https://www.ohchr.org/en/press-releases/2026/08/un-experts-condemn-escalation-attacks-against-palestinians-gaza-and-west</t>
  </si>
  <si>
    <t xml:space="preserve">2026.08.11</t>
  </si>
  <si>
    <t xml:space="preserve">Lebanon: abolition of death penalty</t>
  </si>
  <si>
    <t xml:space="preserve">Ливан улс цаазаар авах ялыг албан ёсоор халж, бүх насаар нь хорих (хатуу хөдөлмөрийн хамт) ялаар сольсныг НҮБ-ын Хүний эрхийн Дээд Комиссар Волкер Түрк өндрөөр үнэлэв. Энэ нь бүс нутагт анхны алхам бөгөөд Ливан 2004 оноос хойш цаазаар авах ял оноогоогүй байсан.</t>
  </si>
  <si>
    <t xml:space="preserve">https://www.ohchr.org/en/press-releases/2026/08/lebanon-abolition-death-penalty</t>
  </si>
  <si>
    <t xml:space="preserve">2026.08.12</t>
  </si>
  <si>
    <t xml:space="preserve">Venezuela: RSF and partner organisations highlight four years of severe restrictions on press freedom</t>
  </si>
  <si>
    <t xml:space="preserve">Венесуэл улс НҮБ-ын Хүний эрхийн зөвлөлийн Түгээмэл ээлжит хэлэлцүүлэг (UPR)-ийн дөрөв дэх мөчлөгтөө бэлтгэж байна. Үүнтэй холбогдуулан Хил хязгааргүй сурвалжлагчид (RSF) болон хамтран ажилладаг зургаан байгууллага сүүлийн дөрвөн жилийн хугацаанд тус улсын хэвлэлийн эрх чөлөө, үзэл бодлоо илэрхийлэх эрхийн нөхцөл байдал эрс доройтсон талаар хамтарсан үнэлгээ хүргүүлжээ.</t>
  </si>
  <si>
    <t xml:space="preserve">Үзэл бодлоо илэрхийлэх, хэвлэлийн эрх чөлөө</t>
  </si>
  <si>
    <t xml:space="preserve">Венесуэлийн Засгийн газар</t>
  </si>
  <si>
    <t xml:space="preserve">Хил хязгааргүй сэтгүүлчид (Reporters without borders)</t>
  </si>
  <si>
    <t xml:space="preserve">https://rsf.org/en/venezuela-rsf-and-partner-organisations-highlight-four-years-severe-restrictions-press-freedom</t>
  </si>
  <si>
    <t xml:space="preserve">2026.08.13</t>
  </si>
  <si>
    <t xml:space="preserve">US: Federal Agencies Abandon Civil Rights Duties</t>
  </si>
  <si>
    <t xml:space="preserve">АНУ-ын Трампын засаг захиргаа холбооны түвшинд хэрэгждэг иргэний эрхийн хамгаалалт, хэрэгжилтийг эрс хумиж, хууль тогтоомжоор хамгаалагдах ёстой хүмүүс эрх нь зөрчигдсөн тохиолдолд үр дүнтэй хамгаалалт, эрх зүйн арга хэрэгслээр хангагдах боломжгүй болсон гэж Human Rights Watch (HRW) өнөөдөр нийтэлсэн тайландаа мэдэгдэв.
“Орхигдсон эрх зүйн хамгаалалт: Трампын засаг захиргааны үеийн АНУ-ын иргэний эрхийн хэрэгжилт” нэртэй 112 хуудас тайланд 2025 оны 1 дүгээр сараас 2026 оны хавар хүртэлх хугацаанд иргэний эрхийг хамгаалах чиг үүрэг бүхий дөрвөн гол байгууллагын үйл ажиллагааг хэрхэн сулруулсан талаар баримтжуулжээ.</t>
  </si>
  <si>
    <t xml:space="preserve">Төрийн иргэний өмнө хүлээсэн үүрэг </t>
  </si>
  <si>
    <t xml:space="preserve">АНУ-ын эрх баригчид</t>
  </si>
  <si>
    <t xml:space="preserve">https://www.hrw.org/news/2026/08/13/us-federal-agencies-abandon-civil-rights-duties</t>
  </si>
  <si>
    <t xml:space="preserve">2026.08.14-08.21</t>
  </si>
  <si>
    <t xml:space="preserve">2026.08.17</t>
  </si>
  <si>
    <t xml:space="preserve">2026.07.27-08.10</t>
  </si>
  <si>
    <t xml:space="preserve">“Struggle for Dignity”: At Least 40 Killed in Mass Protests in Pakistan-Administered Kashmir</t>
  </si>
  <si>
    <t xml:space="preserve">Пакистаны захиргаанд байдаг Кашмирын бүсэд орон нутгийн улс төрчид, идэвхтнүүд болон жижиг бизнес эрхлэгчдээс бүрдсэн Нэгдсэн Ардчилсан Үйл Ажиллагааны Хороо (JAAC) амьжиргааны өртөг огцом нэмэгдэж, улс төрийн өөртөө засах эрхэд тавьсан хязгаарлалтыг эсэргүүцсэн олон нийтийн томоохон жагсаалыг зохион байгуулж байна. Үүний хариуд Пакистаны Засгийн газар тус бүлгийг терроризмтой тэмцэх хууль тогтоомжийн дагуу хориглож, харилцаа холбоог таслах арга хэмжээ авчээ. Аюулгүй байдлын хүчнийхэн тайван жагсагчдын эсрэг ялгаварлалгүйгээр гал нээсэн гэх мэдээлэл гарч, улмаар дор хаяж 40 хүн амиа алдсан байна.</t>
  </si>
  <si>
    <t xml:space="preserve">Амьд явах эрх, үзэл бодлоо илэрхийлэх, жагсаал цуглаан хийх эрх чөлөө</t>
  </si>
  <si>
    <t xml:space="preserve">Пакистаны аюулгүй байдлын хүчин</t>
  </si>
  <si>
    <t xml:space="preserve">Democracy Now! / Bloomberg / Al Jazeera</t>
  </si>
  <si>
    <t xml:space="preserve">https://www.democracynow.org/2026/8/6/kashmir_mass_protests</t>
  </si>
  <si>
    <t xml:space="preserve">2026.08.20</t>
  </si>
  <si>
    <t xml:space="preserve">South Sudan: UN Commission warns elections without essential safeguards and genuine dialogue could fuel renewed conflict and atrocity crimes</t>
  </si>
  <si>
    <t xml:space="preserve">Өмнөд Судан тусгаар тогтнолоо олсноос хойшхи анхны үндэсний сонгуулиа зохион байгуулах чиглэлд явж байгаа боловч тайван, шударга, итгэл даахуйц сонгууль явуулж, ардчилсан өөрчлөлтийг хангахад шаардлагатай улс төр, аюулгүй байдал, хүний эрхийн баталгаа хангалтгүй байгааг НҮБ-ын Өмнөд Судан дахь Хүний эрхийн асуудал хариуцсан Комисс анхааруулжээ.
Комиссын шинэ зөвлөмжид сонгуулийг ардчиллыг бэхжүүлэх, улс орны дотоод хагарал, зөрчлийг бууруулах тодорхой стратегигүйгээр зохион байгуулбал харин ч дахин зэвсэгт мөргөлдөөн дэгдэх, олон улсын эрх зүйн хүрээнд харгис гэмт хэрэг (atrocity crimes) үйлдэгдэх эрсдэлийг нэмэгдүүлж болзошгүй гэж үзсэн байна.</t>
  </si>
  <si>
    <t xml:space="preserve">Өмнөд Судан улс</t>
  </si>
  <si>
    <t xml:space="preserve">Амьд явах, ардчилсан оролцооны эрх</t>
  </si>
  <si>
    <t xml:space="preserve">Өмнөд Суданы эрх баригчид</t>
  </si>
  <si>
    <t xml:space="preserve">https://www.ohchr.org/en/press-releases/2026/08/south-sudan-un-commission-warns-elections-without-essential-safeguards-and </t>
  </si>
  <si>
    <t xml:space="preserve">2026.08.16</t>
  </si>
  <si>
    <t xml:space="preserve">Далайн чанад дахь цагаач ажилчдын хөдөлмөрийн мөлжлөг ба бичиг баримтыг хураасан явдал</t>
  </si>
  <si>
    <t xml:space="preserve">Барилгын салбарт гадаад ажилчдын бичиг баримтыг хурааж, цалинг олон сараар олгоогүй хөдөлмөрийн мөлжлөгийн хэрэг олон улсын анхааралд өртөв.</t>
  </si>
  <si>
    <t xml:space="preserve">Ойрхи Дорнод, Катар, Доха хот</t>
  </si>
  <si>
    <t xml:space="preserve">Хөдөлмөрлөх, шударга хөлс авах эрх (ICESCR 7), Албадан хөдөлмөрөөс ангид байх эрх (ILO Conv. 29, ICCPR 8), Чөлөөтэй зорчих эрх</t>
  </si>
  <si>
    <t xml:space="preserve">Гэрээлэгч барилгын консорциум, ажил олгогчид</t>
  </si>
  <si>
    <t xml:space="preserve">Олон улсын хөдөлмөрийн байгууллага (ILO)</t>
  </si>
  <si>
    <t xml:space="preserve">https://www.ilo.org</t>
  </si>
  <si>
    <t xml:space="preserve">2026.08.22-08.28</t>
  </si>
  <si>
    <t xml:space="preserve">2026.08.22</t>
  </si>
  <si>
    <t xml:space="preserve">Байгаль орчныг хамгаалагч идэвхтнүүдийг баривчилж эрхийг нь хязгаарласан тохиолдол</t>
  </si>
  <si>
    <t xml:space="preserve">Ширэнгэн ойн хамгаалалтын бүсэд хууль бус мод бэлтгэлийг эсэргүүцсэн нутгийн уугуул иргэдийн удирдагч, байгаль хамгаалагчдыг үндэслэлгүй саатуулжээ.</t>
  </si>
  <si>
    <t xml:space="preserve">Өмнөд Америк, Амазоны бүс нутаг</t>
  </si>
  <si>
    <t xml:space="preserve">Эрүүл аюулгүй орчинд амьдрах эрх, Тайван жагсах, үзэл бодлоо илэрхийлэх эрх (ICCPR 19, 21), Уугуул иргэдийн эрх (UNDRIP), Халдашгүй чөлөөтэй байх эрх</t>
  </si>
  <si>
    <t xml:space="preserve">Хууль бус мод бэлтгэгч бүлэглэлүүд, орон нутгийн эрх баригчид</t>
  </si>
  <si>
    <t xml:space="preserve">Эмнести Интернэшнл (Amnesty International)</t>
  </si>
  <si>
    <t xml:space="preserve">https://www.amnesty.org</t>
  </si>
  <si>
    <t xml:space="preserve">Increased Drone Attacks, Mass Atrocities in War-Torn Sudan /Суданд дрон халдлага ба харгислал эрс нэмэгдэв/</t>
  </si>
  <si>
    <t xml:space="preserve">Суданы мөргөлдөөний үеэр Хурдан Дэмжлэгийн Хүчин (RSF) дрон ашиглан энгийн иргэдийн суурьшлын бүс, эмнэлэгт замбараагүй цохилт өгч, хүний эрхийг ноцтой зөрчиж буйг НҮБ-ын Аюулгүйн Зөвлөл хэлэлцэв.</t>
  </si>
  <si>
    <t xml:space="preserve">Судан улс, Эль-Обейд болон Хартум</t>
  </si>
  <si>
    <t xml:space="preserve">Амьд явах эрх, Олон улсын хүмүүнлэгийн эрх зүй, Халдашгүй чөлөөтэй байх эрх</t>
  </si>
  <si>
    <t xml:space="preserve">Хурдан Дэмжлэгийн Хүчин (RSF), зэвсэгт бүлэглэлүүд</t>
  </si>
  <si>
    <t xml:space="preserve">НҮБ-ын Аюулгүйн Зөвлөл (UN Security Council)</t>
  </si>
  <si>
    <t xml:space="preserve">https://press.un.org/en/2026/sc16437.doc.htm</t>
  </si>
  <si>
    <t xml:space="preserve">Humanitarian Situation Report: Severed Access in Gaza /Газын зурваст нэвтрэх хязгаарлалт чангарч, иргэд эрсдэлд оров/</t>
  </si>
  <si>
    <t xml:space="preserve">Газын нутаг дэвсгэрийн гуравны хоёрт нэвтрэх боломжгүй болж, энгийн иргэд аюулгүй газар нутаггүй, хүнс, эмнэлгийн тусламж авах боломжгүйгээр хэт бөөгнөрөлд шахагдаж байгааг НҮБ мэдээлэв.</t>
  </si>
  <si>
    <t xml:space="preserve">Газын зурвас, Палестин</t>
  </si>
  <si>
    <t xml:space="preserve">Амьд явах эрх, Эрүүл мэнд, зохистой хоол хүнсээр хангагдах эрх, Олон улсын хүмүүнлэгийн эрх зүй</t>
  </si>
  <si>
    <t xml:space="preserve">НҮБ-ын OCHA</t>
  </si>
  <si>
    <t xml:space="preserve">https://www.ochaopt.org/content/humanitarian-situation-report-28-august-2026</t>
  </si>
  <si>
    <t xml:space="preserve">2026.08.29-09.04</t>
  </si>
  <si>
    <t xml:space="preserve">2026.09.03</t>
  </si>
  <si>
    <t xml:space="preserve">2026 оны 8-р сарын сүүл</t>
  </si>
  <si>
    <t xml:space="preserve">India: Renewed Ethnic Violence in Manipur /Энэтхэгийн Манипур мужид үндэстэн хоорондын хүчирхийлэл сэргэв/</t>
  </si>
  <si>
    <t xml:space="preserve">Энэтхэгийн Манипур мужид үндэстний бүлгүүдийн хооронд мөргөлдөөн гарч, 8 дугаар сарын сүүлээр доод тал нь долоон хүн амиа алдсаныг хүний эрхийн байгууллага тайлагнав.</t>
  </si>
  <si>
    <t xml:space="preserve">Энэтхэг улс, Манипур муж</t>
  </si>
  <si>
    <t xml:space="preserve">Амьд явах эрх, Ялгаварлан гадуурхалтаас ангид байх эрх, Аюулгүй орчинд амьдрах эрх</t>
  </si>
  <si>
    <t xml:space="preserve">Зэвсэгт бүлэглэлүүд, аюулгүй байдлыг хангаж чадаагүй орон нутгийн эрх баригчид</t>
  </si>
  <si>
    <t xml:space="preserve">Human Rights Watch (HRW)</t>
  </si>
  <si>
    <t xml:space="preserve">https://www.hrw.org/news/2026/09/03/india-renewed-ethnic-violence-in-manipur</t>
  </si>
  <si>
    <t xml:space="preserve">2026.09.05-09.11</t>
  </si>
  <si>
    <t xml:space="preserve">2026 оны 3–8 сар</t>
  </si>
  <si>
    <t xml:space="preserve">Iran: Ongoing Unlawful Execution Campaign Against Protesters /Иранд эсэргүүцэгчдийг хууль бусаар цаазалж байна/</t>
  </si>
  <si>
    <t xml:space="preserve">Ираны эрх баригчид 2026 оны 3-аас 8 дугаар сарын хугацаанд шударга шүүхийн баталгаагүйгээр эсэргүүцлийн жагсаалд оролцогчдод цаазаар авах ял олноор оноож, гүйцэтгэсээр байгааг олон улсад буруушаав.</t>
  </si>
  <si>
    <t xml:space="preserve">Иран улс</t>
  </si>
  <si>
    <t xml:space="preserve">Амьд явах эрх, Шударга шүүхээр шүүлгэх эрх, Эрүүдэн шүүх, хэрцгий хүнлэг бус шийтгэлээс ангид байх эрх</t>
  </si>
  <si>
    <t xml:space="preserve">Ираны эрх баригчид, шүүх засаглал</t>
  </si>
  <si>
    <t xml:space="preserve">Human Rights Watch</t>
  </si>
  <si>
    <t xml:space="preserve">https://www.hrw.org/news/2026/09/10/iran-ongoing-unlawful-execution-campaign-against-protesters</t>
  </si>
  <si>
    <t xml:space="preserve">2026.09.14</t>
  </si>
  <si>
    <t xml:space="preserve">Another Journalist in Mali Sentenced to Prison /Малид дахин нэг сэтгүүлчид хорих ял оноов/</t>
  </si>
  <si>
    <t xml:space="preserve">Малийн "Le Témoin" сонины сэтгүүлч Абдрамане Кейта Кидал хотыг зэвсэгт бүлэглэл хяналтдаа авсан тухай телевизээр ярьсных нь төлөө 2026.06.09-нд баривчлагдаж, кибер гэмт хэргийн үндэсний шүүх 2026.09.14-нд "үндэсний эв нэгдэл, төрийн нэр хүндийг гутаасан" хэмээн хоёр жил хорих ял оноожээ. Цэргийн засаг 2020 оноос хойш кибер гэмт хэргийн өргөн хүрээтэй заалтаар сэтгүүлч, шүүмжлэгчдийг мөрдөн мөшгих болсныг HRW онцолжээ.</t>
  </si>
  <si>
    <t xml:space="preserve">Мали улс</t>
  </si>
  <si>
    <t xml:space="preserve">Малийн цэргийн засаг, кибер гэмт хэргийн үндэсний шүүх</t>
  </si>
  <si>
    <t xml:space="preserve">https://www.hrw.org/news/2026/09/21/another-journalist-in-mali-sentenced-to-prison</t>
  </si>
  <si>
    <t xml:space="preserve">2026.07.27-оос хойш</t>
  </si>
  <si>
    <t xml:space="preserve">US: Deportations to Haiti Endanger Lives /АНУ Гаити руу албадан буцаах нь хүний амь насанд аюул учруулж байна/</t>
  </si>
  <si>
    <t xml:space="preserve">АНУ 2026.07.27-нд Гаитийн иргэдийн түр хамгаалалтын статусыг цуцалсны дараа 450 гаруй иргэнийг Гаити руу албадан буцаасан бөгөөд 2026.08.20-09.17-ны хооронд таван нислэгээр 474 хүн очжээ. Гаитид 2023-2026 онд бүлэглэлийн хүчирхийллээр 19,380-аас доошгүй хүн амиа алдаж, 1.5 сая орчим хүн дотооддоо дүрвэсэн байна. HRW буцаан илгээхгүй байх зарчмыг баримталж, албадан буцаалтыг даруй зогсоохыг шаарджээ.</t>
  </si>
  <si>
    <t xml:space="preserve">АНУ, Гаити улс</t>
  </si>
  <si>
    <t xml:space="preserve">Амьд явах, аюулгүй байх эрх, дүрвэгсдийг аюултай орон руу буцаан илгээхгүй байх зарчим</t>
  </si>
  <si>
    <t xml:space="preserve">АНУ-ын засаг захиргаа</t>
  </si>
  <si>
    <t xml:space="preserve">https://www.hrw.org/news/2026/09/21/us-deportations-to-haiti-endanger-lives</t>
  </si>
  <si>
    <t xml:space="preserve">2026.09.16-09.19</t>
  </si>
  <si>
    <t xml:space="preserve">Armenian Prisoners in Azerbaijan Allege Rights' Violations /Азербайжанд хоригдож буй армян хоригдлууд эрхээ зөрчигдсөн гэж мэдэгдэв/</t>
  </si>
  <si>
    <t xml:space="preserve">Азербайжаны Умбаки хорих газарт хоригдож буй Рубен Варданян болон бусад 18 армян хоригдол гэр бүлтэйгээ тогтмол холбогдох, эмнэлгийн шинжилгээ хийлгэх боломжгүй, долоо хоногт 20-40 минут л гадаа гардаг, гомдолд нь бичгээр хариу өгдөггүй гэж 2026.09.16-нд мэдэгдсэн бөгөөд Азербайжаны хүний эрхийн комиссар үүнийг 2026.09.19-нд үгүйсгэжээ. HRW Олон улсын Улаан загалмайн хороонд тогтмол нэвтрэх боломж олгохыг шаарджээ.</t>
  </si>
  <si>
    <t xml:space="preserve">Азербайжан улс</t>
  </si>
  <si>
    <t xml:space="preserve">Хоригдлын эрх, хүнлэг бус харьцаанаас ангид байх, эмнэлгийн тусламж авах, шударга шүүхээр шүүлгэх эрх</t>
  </si>
  <si>
    <t xml:space="preserve">Азербайжаны эрх баригчид, хорих газрын захиргаа</t>
  </si>
  <si>
    <t xml:space="preserve">https://www.hrw.org/news/2026/09/21/armenian-prisoners-in-azerbaijan-allege-rights-violations</t>
  </si>
  <si>
    <t xml:space="preserve">2026.09.17</t>
  </si>
  <si>
    <t xml:space="preserve">Niger: Junta Strips 5 More Exiled Critics of Nationality /Нигерийн цэргийн засаг цөллөгт буй 5 шүүмжлэгчийн иргэншлийг хасав/</t>
  </si>
  <si>
    <t xml:space="preserve">Нигерийн цэргийн засгийн тэргүүн генерал Тиани 2026.09.17-ны зарлигаар Ерөнхий сайд асан Оухоумоуду Махамаду, ерөнхийлөгчийн гурван зөвлөх асан болон идэвхтэн Бубакар Сейни Соулей нарын иргэншлийг түр хасжээ. Ингэснээр 2024 оны терроризмын мэдээллийн сангийн тушаалаар иргэншлээ хасуулсан хүний тоо 25 хүрсэн бөгөөд HRW энэ нь харьяалалгүй болохоос урьдчилан сэргийлэх үүргийг зөрчиж байна гэжээ.</t>
  </si>
  <si>
    <t xml:space="preserve">Нигер улс</t>
  </si>
  <si>
    <t xml:space="preserve">Иргэншилтэй байх эрх, харьяалалгүй болохоос хамгаалагдах, чөлөөтэй зорчих эрх</t>
  </si>
  <si>
    <t xml:space="preserve">Нигерийн цэргийн засаг</t>
  </si>
  <si>
    <t xml:space="preserve">https://www.hrw.org/news/2026/09/22/niger-junta-strips-5-more-exiled-critics-of-nationality</t>
  </si>
  <si>
    <t xml:space="preserve">South Korea's Systemic Gender and Age Discrimination /Өмнөд Солонгос дахь хүйс, насаар тогтолцооны шинжтэй ялгаварлан гадуурхалт/</t>
  </si>
  <si>
    <t xml:space="preserve">HRW-ийн "Too Old and a Woman" тайланд Өмнөд Солонгост 50-аас дээш насны эмэгтэйчүүд эрэгтэйчүүдээс 50 хувь бага цалин авч, үндэсний өндөр насны тэтгэврийн хэмжээ нь эрэгтэйчүүдийнхээс 53 хувьтай тэнцэж байгааг 41 эмэгтэйтэй хийсэн ярилцлагад үндэслэн тогтоожээ. Албадан тэтгэвэрт гаргах нас, ажлын байрны зарын ялгавартай хандлага нь өндөр настай эмэгтэйчүүдийг бага цалинтай асаргаа, цэвэрлэгээний ажил руу түлхэж байна.</t>
  </si>
  <si>
    <t xml:space="preserve">Бүгд Найрамдах Солонгос Улс</t>
  </si>
  <si>
    <t xml:space="preserve">Ялгаварлан гадуурхалтаас ангид байх, хөдөлмөрлөх, тэгш цалин, тэтгэвэр авах эрх</t>
  </si>
  <si>
    <t xml:space="preserve">Өмнөд Солонгосын Засгийн газар, ажил олгогчид</t>
  </si>
  <si>
    <t xml:space="preserve">https://www.hrw.org/news/2026/09/23/south-koreas-systemic-gender-and-age-discrimination</t>
  </si>
  <si>
    <t xml:space="preserve">Malaysia: Release detained human rights defenders and end harassment against them /Малайз: Баривчлагдсан хүний эрхийн хамгаалагчдыг суллах шаардлага/</t>
  </si>
  <si>
    <t xml:space="preserve">Малайзын цагдаагийн арилжааны гэмт хэргийн мөрдөн шалгах хэлтэс 2026.09.22-нд MANDIRI байгууллагын гүйцэтгэх захирал Амир Хади, цаазын ялыг халахын төлөө HAYAT байгууллагын гүйцэтгэх захирал Добби Чью нарыг мөнгө угаахтай тэмцэх хуулийн 4(1)(a) зүйлээр баривчилжээ. Амнести Интернэшнл, CIVICUS, FORUM-ASIA, Front Line Defenders, HRW нар тэднийг даруй сулласан, зорчих хоригийг цуцалж, банкны дансыг чөлөөлөхийг шаарджээ.</t>
  </si>
  <si>
    <t xml:space="preserve">Малайз улс</t>
  </si>
  <si>
    <t xml:space="preserve">Эвлэлдэн нэгдэх эрх, хүний эрхийн хамгаалагчийн үйл ажиллагааны эрх чөлөө</t>
  </si>
  <si>
    <t xml:space="preserve">Малайзын цагдаагийн байгууллага</t>
  </si>
  <si>
    <t xml:space="preserve">https://www.hrw.org/news/2026/09/24/malaysia-release-detained-human-rights-defenders-and-end-harassment-against-them</t>
  </si>
  <si>
    <t xml:space="preserve">2026 оны 3-9 дүгээр сар</t>
  </si>
  <si>
    <t xml:space="preserve">Russia Crackdown on Bypassing Online Censorship /ОХУ онлайн цензурыг тойрох хэрэгслийг хавчиж байна/</t>
  </si>
  <si>
    <t xml:space="preserve">ОХУ-ын эрх баригчид 2026 онд VPN үйлчилгээг хаах, Apple App Store-оос алдартай VPN аппликейшнүүдийг устгуулах, интернэт компаниудаас VPN хэрэглэгчдийн тухай мэдээлэл шаардах зэргээр цензурыг тойрох хэрэгслийг эрчимтэй хязгаарлаж байна. Хүн амын 40 орчим хувь VPN ашигладаг бөгөөд 2025 он гэхэд 469 VPN үйлчилгээг хаасан байна.</t>
  </si>
  <si>
    <t xml:space="preserve">Үзэл бодлоо илэрхийлэх, мэдээлэл авах эрх</t>
  </si>
  <si>
    <t xml:space="preserve">ОХУ-ын эрх баригчид, харилцаа холбооны хяналтын байгууллага</t>
  </si>
  <si>
    <t xml:space="preserve">https://www.hrw.org/news/2026/09/24/russia-crackdown-on-bypassing-online-censorship</t>
  </si>
  <si>
    <t xml:space="preserve">Ethiopia: Indiscriminate Airstrike in Tigray /Этиоп: Тигрэйд ялгаварлалгүй агаарын цохилт үйлджээ/</t>
  </si>
  <si>
    <t xml:space="preserve">Этиопын засгийн газрын хүчин 2026.08.20-нд Тигрэй мужийн Мекелле хотын Даеро хорооллын орон сууцны хашаанд агаараас цохилт хийж, долоон хүүхэд бүхий 13 энгийн иргэнийг шархдуулжээ. Тухайн газарт цэргийн бай байгаагүй тул HRW цохилтыг хууль бус, ялгаварлалгүй гэж дүгнэж, дайны гэмт хэрэг байж болзошгүй тул шударга мөрдөн шалгаж, хохирогчдод нөхөн олговор олгохыг шаарджээ.</t>
  </si>
  <si>
    <t xml:space="preserve">Этиоп улс, Тигрэй муж, Мекелле хот</t>
  </si>
  <si>
    <t xml:space="preserve">Амьд явах эрх, энгийн иргэдийг хамгаалах олон улсын хүмүүнлэгийн эрх зүй</t>
  </si>
  <si>
    <t xml:space="preserve">Этиопын засгийн газрын зэвсэгт хүчин</t>
  </si>
  <si>
    <t xml:space="preserve">https://www.hrw.org/news/2026/09/25/ethiopia-indiscriminate-airstrike-in-tigray</t>
  </si>
  <si>
    <t xml:space="preserve">2026.09.27</t>
  </si>
  <si>
    <t xml:space="preserve">Syria: Reconstruction Deals Lack Critical Rights Framework /Сири: Сэргээн босголтын хэлцлүүдэд хүний эрхийн хүрээ дутагдаж байна/</t>
  </si>
  <si>
    <t xml:space="preserve">HRW-ийн тайланд Сирийн шилжилтийн засгийн газар сэргээн босголтын олон тэрбум ам.долларын хэлцлийг нөлөөлөлд өртөх иргэдийн эрхийг хамгаалах баталгаагүйгээр байгуулж байгааг баримтжуулжээ. Дүрвэлтээс буцаж ирсэн иргэдийн орон байр сүйрсэн, ус, цахилгаан, эмнэлэг, сургууль байхгүй, шийдвэр гаргахад иргэдийг оролцуулаагүй, нөхөн олговор, гомдол шийдвэрлэх бие даасан механизмгүй байна. Дэлхийн банк сэргээн босголтын зардлыг 216 тэрбум ам.доллар гэж тооцжээ.</t>
  </si>
  <si>
    <t xml:space="preserve">Сири улс (Идлиб, Дамаскийн Жобар дүүрэг)</t>
  </si>
  <si>
    <t xml:space="preserve">Орон сууцтай байх эрх, өмчлөх эрх, шийдвэр гаргахад оролцох, нөхөн олговор авах эрх</t>
  </si>
  <si>
    <t xml:space="preserve">Сирийн шилжилтийн засгийн газар, хандивлагч, хөрөнгө оруулагчид</t>
  </si>
  <si>
    <t xml:space="preserve">https://www.hrw.org/news/2026/09/27/syria-reconstruction-deals-lack-critical-rights-framework</t>
  </si>
  <si>
    <t xml:space="preserve">Хүнс, ус, орон сууцны эрх</t>
  </si>
  <si>
    <t xml:space="preserve">Дүрвэгсэд, цагаачид</t>
  </si>
  <si>
    <t xml:space="preserve">2026 оны 5-8 дугаар сар</t>
  </si>
  <si>
    <t xml:space="preserve">Children in Anguish as US Immigration Arrests Surge /АНУ-д цагаачдыг баривчлах ажиллагаа эрчимжиж, хүүхдүүд сэтгэл санааны хүнд байдалд орж байна/</t>
  </si>
  <si>
    <t xml:space="preserve">АНУ 2025 оны 1 дүгээр сараас хойш 540 мянга гаруй хүнийг албадан гаргасан бөгөөд 2026 оны зун гэмт хэрэгт холбогдоогүй цагаачдыг баривчлах ажиллагаа эрс нэмэгджээ. Эцэг эхийг ердийн бүртгэл, үзлэгийн үеэр баривчилж, хүүхдээс нь урьдчилан мэдэгдэлгүй салгаснаас АНУ-ын иргэн хүүхдүүд эцэг эхгүй үлдэж, сэтгэл зүйн гэмтэл, түгшүүр, сэтгэл гутралд орж, эмнэлгийн тусламж авах боломж нь хязгаарлагдаж байгааг HRW баримтжуулжээ.</t>
  </si>
  <si>
    <t xml:space="preserve">АНУ (Алабама, Флорида муж), Гватемал, Гаити улс</t>
  </si>
  <si>
    <t xml:space="preserve">Хүүхдийн гэр бүлтэйгээ хамт амьдрах эрх, хүүхдийн эрүүл мэндээ хамгаалуулах эрх, цагаачдын шударга журмаар шийдвэрлүүлэх эрх</t>
  </si>
  <si>
    <t xml:space="preserve">АНУ-ын засаг захиргаа, Цагаачлал, гаалийн хяналтын алба (ICE)</t>
  </si>
  <si>
    <t xml:space="preserve">https://www.hrw.org/news/2026/09/28/children-in-anguish-as-us-immigration-arrests-surge</t>
  </si>
  <si>
    <t xml:space="preserve">2023 оны 6 дугаар сар - 2025 оны 12 дугаар сар</t>
  </si>
  <si>
    <t xml:space="preserve">Mali: Damning evidence of war crimes by state armed forces and Wagner Group personnel – new report /Мали: Засгийн газрын зэвсэгт хүчин болон "Вагнер" бүлэглэлийн үйлдсэн дайны гэмт хэргийн баримт – шинэ тайлан/</t>
  </si>
  <si>
    <t xml:space="preserve">Amnesty International-ийн шинэ тайланд Малийн зэвсэгт хүчин болон "Вагнер" бүлэглэлийн бие бүрэлдэхүүн 2023 оны 6 дугаар сараас 2025 оны 12 дугаар сарын хооронд Мопти, Сегу, Тимбукту мужид дор хаяж 34 энгийн иргэнийг хөнөөж, эрүүдэн шүүж, хүчээр сураггүй алга болгож, эд хөрөнгийг устгасныг баримтжуулжээ. Мали улс Олон улсын эрүүгийн шүүхээс гарсан нь хохирогчдын шударга ёс, нөхөн төлбөр авах боломжийг хааж байна гэж тус байгууллага үзжээ.</t>
  </si>
  <si>
    <t xml:space="preserve">Мали улс (Мопти, Сегу, Тимбукту муж)</t>
  </si>
  <si>
    <t xml:space="preserve">Амьд явах эрх, эрүүдэн шүүхээс ангид байх эрх, хүчээр алга болгохоос хамгаалагдах эрх, энгийн иргэдийг хамгаалах олон улсын хүмүүнлэгийн эрх зүй</t>
  </si>
  <si>
    <t xml:space="preserve">Малийн зэвсэгт хүчин, "Вагнер" бүлэглэл</t>
  </si>
  <si>
    <t xml:space="preserve">Amnesty International</t>
  </si>
  <si>
    <t xml:space="preserve">https://www.amnesty.org/en/latest/news/2026/09/mali-war-wagner/</t>
  </si>
  <si>
    <t xml:space="preserve">2025.09.30-наас хойш</t>
  </si>
  <si>
    <t xml:space="preserve">United Arab Emirates: A Year On, Critic Remains in Detention /АНЭУ: Шүүмжлэгч нэг жилийн дараа ч саатуулагдсан хэвээр/</t>
  </si>
  <si>
    <t xml:space="preserve">Өмнөд Суданы засгийн газрыг шүүмжилсэн нийтлэл бичдэг улс төрийн тоймч Самуэл Питер Ояйг АНЭУ-ын аюулгүй байдлын алба 2025.09.30-нд Дубай дахь гэрээс нь захирамжгүйгээр баривчилж, нэг жилийн турш ял тулгалгүй саатуулж байна. Тэрээр Аль-Ватба шоронд хоригдож байгаа нь 2026 оны 2 дугаар сард батлагджээ. HRW түүнийг нэн даруй суллахыг шаардав.</t>
  </si>
  <si>
    <t xml:space="preserve">Арабын Нэгдсэн Эмират Улс (Дубай, Аль-Ватба шорон)</t>
  </si>
  <si>
    <t xml:space="preserve">Үзэл бодлоо илэрхийлэх эрх, дур мэдэн саатуулахаас ангид байх, халдашгүй чөлөөтэй байх эрх, шударга шүүхээр шүүлгэх эрх</t>
  </si>
  <si>
    <t xml:space="preserve">АНЭУ-ын эрх баригчид, аюулгүй байдлын алба</t>
  </si>
  <si>
    <t xml:space="preserve">https://www.hrw.org/news/2026/09/30/united-arab-emirates-a-year-on-critic-remains-in-detention</t>
  </si>
  <si>
    <t xml:space="preserve">Haiti: Attack in Artibonite underscores the urgent need to turn international commitments into effective protection /Гаити: Артибонит дахь халдлага олон улсын амлалтыг бодит хамгаалалт болгох зайлшгүй шаардлагыг харууллаа/</t>
  </si>
  <si>
    <t xml:space="preserve">Гаити улсын Артибонит департаментын Грос-Морн хотод 2026.09.28-нд "Кокорат Сан Рас" зэвсэгт бүлэглэл халдаж, дор хаяж 11 хүн амиа алдаж, хэд хэдэн хүн шархаджээ. Amnesty International олон улсын хамтын нийгэмлэгийн амлалтыг хүн амыг бодитоор хамгаалах арга хэмжээ болгохыг уриалав.</t>
  </si>
  <si>
    <t xml:space="preserve">Гаити улс, Артибонит департамент, Грос-Морн</t>
  </si>
  <si>
    <t xml:space="preserve">"Кокорат Сан Рас" зэвсэгт бүлэглэл; Гаитийн төр (хүн амаа хамгаалж чадаагүй)</t>
  </si>
  <si>
    <t xml:space="preserve">https://www.amnesty.org/en/latest/news/2026/09/haiti-ataque-en-artibonite-demuestra-la-urgencia-de-convertir-los-compromisos-internacionales-en-proteccion-efectiva/</t>
  </si>
  <si>
    <t xml:space="preserve">2025 оны 10 дугаар сар - 2026 оны 8 дугаар сар</t>
  </si>
  <si>
    <t xml:space="preserve">World News in Brief: Storm clouds over Gaza, deadly obstacles face Mexican women rights defenders, Latvia booze ban proves lifesaver /Дэлхийн товч мэдээ: Мексикт сураггүй алга болсон хүмүүсийг эрэн хайдаг эмэгтэй хүний эрхийн хамгаалагчид амь насны аюулд байна/</t>
  </si>
  <si>
    <t xml:space="preserve">НҮБ-ын хараат бус шинжээчид Мексикт хүчээр алга болгогдсон хүмүүсийг эрэн хайдаг эмэгтэйчүүд өөрсдөө хүчирхийлэл, халдлагын хохирогч болж байгааг анхааруулав. Синалоа мужид хүний эрхийн хамгаалагч Элиса Альтаграсиа Бонилья 2026.08.29-нд сураггүй болж, идэвхтэн Альма Роса Рохо Медина охин, хоёр хүүхдийн хамт халдлагад өртжээ. Шинжээчид эдгээр гэмт хэрэг бараг бүрэн ял завших нөхцөлд үйлдэгдэж байгааг онцлон, төр эрэн хайх үүргээ ар гэрт нь шилжүүлэх ёсгүй гэж мэдэгдэв.</t>
  </si>
  <si>
    <t xml:space="preserve">Мексик улс, Синалоа муж</t>
  </si>
  <si>
    <t xml:space="preserve">Амьд явах эрх, хүчээр алга болгохоос хамгаалагдах эрх, эмэгтэй хүний эрхийн хамгаалагчдын аюулгүй байдал</t>
  </si>
  <si>
    <t xml:space="preserve">Зохион байгуулалттай гэмт бүлэглэлүүд; Мексикийн төр (хамгаалалт, мөрдөн шалгалт хангалтгүй)</t>
  </si>
  <si>
    <t xml:space="preserve">UN News</t>
  </si>
  <si>
    <t xml:space="preserve">https://news.un.org/en/story/2026/09/1168496</t>
  </si>
  <si>
    <t xml:space="preserve">2026.07.08, 2026.09.09</t>
  </si>
  <si>
    <t xml:space="preserve">Uzbekistan: Guarantee Karakalpak Lawyer's Safety /Узбекистан: Каракалпак хуульчийн аюулгүй байдлыг хангах ёстой/</t>
  </si>
  <si>
    <t xml:space="preserve">Каракалпакстаны бүрэн эрхт статусыг хассан Үндсэн хуулийн өөрчлөлтийг эсэргүүцсэн 2022 оны 7 дугаар сарын жагсаалтай холбогдуулан 2023 оноос хоригдож буй блогч, хуульч Даулетмурат Тажимуратовыг 2026.07.08-нд таван албан хаагч, 2026.09.09-нд хоёр этгээд зодсон гэж тэрээр шоронгоос нууцаар гаргасан захидалдаа мэдээлжээ. 4х5 метрийн өрөөнд найман хүн хоригдож, ариун цэврийн нөхцөл хангалтгүй байна. НҮБ-ын Дур мэдэн саатуулах асуудлаарх ажлын хэсэг 2024 оны 11 дүгээр сард түүний хоригдлыг хууль бус гэж дүгнэсэн.</t>
  </si>
  <si>
    <t xml:space="preserve">Узбекистан улс, Каракалпакстан</t>
  </si>
  <si>
    <t xml:space="preserve">Эрүүдэн шүүх, хүнлэг бус харьцаанаас ангид байх эрх, хоригдлын эрх, үзэл бодлоо илэрхийлэх эрх</t>
  </si>
  <si>
    <t xml:space="preserve">Узбекистаны эрх баригчид, хорих ангийн албан хаагчид</t>
  </si>
  <si>
    <t xml:space="preserve">https://www.hrw.org/news/2026/10/01/uzbekistan-guarantee-karakalpak-lawyers-safety</t>
  </si>
  <si>
    <t xml:space="preserve">US: Nebraskans Losing Coverage as Medicaid Changes /АНУ: Medicaid-ийн өөрчлөлтийн улмаас Небраска мужийн иргэд эрүүл мэндийн даатгалгүй болж байна/</t>
  </si>
  <si>
    <t xml:space="preserve">Небраска муж 2026.05.01-нээс Medicaid хөтөлбөрт хамрагдахын тулд сард 80 цаг ажилласнаа баримтжуулах шаардлагыг АНУ-д анх удаа хэрэгжүүлснээр 5-8 дугаар сард 1000 гаруй иргэн эрүүл мэндийн даатгалаа алдсан буюу хамрагдаж чадаагүй байна. Яаруу хэрэгжүүлэлт нь иргэд болон ажилтнуудын дунд төөрөгдөл үүсгэсэн бөгөөд энэ шаардлага улсын хэмжээнд хэрэгжвэл 2034 он гэхэд даатгалгүй хүний тоо 4.8 саяар нэмэгдэнэ гэж Конгрессын Төсвийн алба тооцжээ.</t>
  </si>
  <si>
    <t xml:space="preserve">АНУ, Небраска муж</t>
  </si>
  <si>
    <t xml:space="preserve">Эрүүл мэндээ хамгаалуулах, эмнэлгийн тусламж үйлчилгээ авах эрх, нийгмийн хамгаалал хүртэх эрх</t>
  </si>
  <si>
    <t xml:space="preserve">АНУ-ын холбооны болон Небраска мужийн засаг захиргаа</t>
  </si>
  <si>
    <t xml:space="preserve">https://www.hrw.org/news/2026/10/01/us-nebraskans-losing-coverage-as-medicaid-changes</t>
  </si>
  <si>
    <t xml:space="preserve">2019 он (буудлага), 2026 оны 10 дугаар сар (шүүх хурал)</t>
  </si>
  <si>
    <t xml:space="preserve">UK Trial Challenges Gold Industry's 'Responsible Gold' Certification /Их Британид алтны салбарын "хариуцлагатай алт" гэрчилгээг шүүхээр хянаж байна/</t>
  </si>
  <si>
    <t xml:space="preserve">Танзанийн хойд хэсгийн Норт Мара алтны уурхайд 2019 онд цагдаад буудуулж амиа алдсан 23 настай хоёр залуугийн ар гэр болон өөр 30 танзани иргэн Лондонгийн Үнэт металлын зах зээлийн холбоо (LBMA)-г Их Британийн Дээд шүүхэд өгчээ. Уурхайн орчимд хүн амь үрэгдэж, гэмтэж байсан ч LBMA тус уурхайн алтыг "хариуцлагатай" гэж гэрчилсэн гэж нэхэмжлэгчид үзэж байна.</t>
  </si>
  <si>
    <t xml:space="preserve">Танзани улс, Тариме дүүрэг (Норт Мара уурхай); Их Британи, Лондон</t>
  </si>
  <si>
    <t xml:space="preserve">Амьд явах эрх, хохирлоо арилгуулах, шударга шүүхээр шүүлгэх эрх; бизнес ба хүний эрх</t>
  </si>
  <si>
    <t xml:space="preserve">Танзанийн цагдаа, уурхайн компани, Лондонгийн Үнэт металлын зах зээлийн холбоо (LBMA)</t>
  </si>
  <si>
    <t xml:space="preserve">https://www.hrw.org/news/2026/10/01/uk-trial-challenges-gold-industrys-responsible-gold-certification</t>
  </si>
  <si>
    <t xml:space="preserve">Algeria: Upper house of parliament must reject regressive legislation expanding the death penalty after 30 years without executions /Алжир: Парламентын дээд танхим цаазаар авах ялын хүрээг өргөтгөсөн ухралт болсон хуулийг батлахаас татгалзах ёстой/</t>
  </si>
  <si>
    <t xml:space="preserve">Алжирын парламентын доод танхим 2026.10.01-нд гал тавих (түүний дотор цахим сүлжээгээр өдөөн турхирах), хүүхэд хулгайлах, эрүүдэн шүүх, бэлгийн халдлага зэрэг гэмт хэрэгт цаазаар авах ял оногдуулахаар хуульд өөрчлөлт оруулахыг баталжээ. Тус улс 1993 оноос хойш цаазын ял гүйцэтгээгүй. Amnesty International дээд танхимыг уг өөрчлөлтийг батлахгүй байж, цаазын ялд мораторий тогтоохыг уриалав.</t>
  </si>
  <si>
    <t xml:space="preserve">Алжир улс</t>
  </si>
  <si>
    <t xml:space="preserve">Амьд явах эрх (цаазаар авах ял), үзэл бодлоо илэрхийлэх эрх</t>
  </si>
  <si>
    <t xml:space="preserve">Алжирын парламент, Ерөнхийлөгч, Засгийн газар</t>
  </si>
  <si>
    <t xml:space="preserve">https://www.amnesty.org/en/latest/news/2026/10/algeria-parliament-must-reject-regressive-legislation-expanding-death-penalty/</t>
  </si>
  <si>
    <t xml:space="preserve">2017-2021 он</t>
  </si>
  <si>
    <t xml:space="preserve">Morocco: Whistleblower reveals how authorities used a web of surveillance to silence journalists and activists /Марокко: Эрх баригчид сэтгүүлч, идэвхтнүүдийн амыг таглахын тулд тандалтын сүлжээ ашигласныг шүгэл үлээгч илчиллээ/</t>
  </si>
  <si>
    <t xml:space="preserve">Мароккогийн дотоод тагнуулын алба (DGST)-ны хуучин ажилтан тус алба 2017-2021 онд дор хаяж 103 хүнийг, түүний дотор 34 хүний эрхийн хамгаалагч, 22 сэтгүүлч, 5 хуульч, 4 эрдэмтнийг тандсаныг илчилжээ. "Pegasus" тагнуулын программ суулгах, гэрт нь нууц микрофон байрлуулах, утсыг нь чагнах, хөршүүдээс нь мэдээлэгч элсүүлэх арга хэрэглэж, хохирогчид хоригдож, гүтгэлгийн кампанит ажилд өртсөн байна.</t>
  </si>
  <si>
    <t xml:space="preserve">Марокко улс</t>
  </si>
  <si>
    <t xml:space="preserve">Хувийн нууц, халдашгүй байдал, үзэл бодлоо илэрхийлэх, хэвлэн нийтлэх эрх чөлөө, сэтгүүлч, хүний эрхийн хамгаалагчийн эрх</t>
  </si>
  <si>
    <t xml:space="preserve">Мароккогийн дотоод тагнуулын алба (DGST), эрх баригчид</t>
  </si>
  <si>
    <t xml:space="preserve">https://www.amnesty.org/en/latest/news/2026/10/whistleblower-reveals-how-morocco-used-a-web-of-surveillance-to-silence-journalists/</t>
  </si>
  <si>
    <t xml:space="preserve">Хувийн нууц, халдашгүй байдал</t>
  </si>
  <si>
    <t xml:space="preserve">No more execution attempts on Christa Pike: UN rights chief /НҮБ-ын Хүний эрхийн дээд комиссар: Криста Пайкийг цаазлах оролдлогыг дахин хийх ёсгүй/</t>
  </si>
  <si>
    <t xml:space="preserve">АНУ-ын Теннесси мужид цаазын ялтан Криста Пайкийг өршөөхөөс татгалзаж, үхлийн тариагаар цаазлах оролдлого хоёр удаа бүтэлгүйтжээ. НҮБ-ын Хүний эрхийн дээд комиссар Фолькер Түрк болон есөн хараат бус шинжээч олон удаагийн бүтэлгүй оролдлогоос үүдсэн бие махбод, сэтгэл санааны удаан үргэлжилсэн зовлон нь хэрцгий, хүнлэг бус харьцаа гэж үзэн, мужийн эрх баригчдыг цаазлах оролдлогыг зогсоож, ялыг хөнгөрүүлэхийг уриалав.</t>
  </si>
  <si>
    <t xml:space="preserve">АНУ, Теннесси муж</t>
  </si>
  <si>
    <t xml:space="preserve">Амьд явах эрх, эрүүдэн шүүх, хэрцгий, хүнлэг бус харьцаанаас ангид байх эрх, шударга шүүхээр шүүлгэх эрх</t>
  </si>
  <si>
    <t xml:space="preserve">АНУ-ын Теннесси мужийн эрх баригчид</t>
  </si>
  <si>
    <t xml:space="preserve">https://news.un.org/en/story/2026/10/1168504</t>
  </si>
  <si>
    <t xml:space="preserve">Ebola response faces setback as transit centre burns down in DR Congo camp /БНАКУ-ын дүрвэгсдийн хуаранд түр эмчилгээний төв шатаж, Эболагийн эсрэг хариу арга хэмжээнд саад учирлаа/</t>
  </si>
  <si>
    <t xml:space="preserve">БНАКУ-ын Итури мужийн Кигонзе хуаран дахь Эболагийн өвчтөнийг түр хүлээн авах төв 2026.09.29-ний орой шатжээ. Цэргүүд хуаранд зэвсэг хайж байна гэх мэдээллийн дараа олон мянган хүн дүрвэсэн бөгөөд тус төв 19 мянга орчим дүрвэгсдэд үйлчилж байв. 5 дугаар сараас хойш долоон мужид 8000 гаруй халдвар, 4000 гаруй нас баралт бүртгэгдэж, Хойд Киву мужид Эболагийн эсрэг ажиллаж байсан хоёр ажилтан амиа алдаж, 24 мянга гаруй хүн дүрвээд байна.</t>
  </si>
  <si>
    <t xml:space="preserve">Бүгд Найрамдах Ардчилсан Конго Улс, Итури муж, Хойд Киву муж</t>
  </si>
  <si>
    <t xml:space="preserve">Эрүүл мэндээ хамгаалуулах, эмнэлгийн тусламж үйлчилгээ авах эрх, амьд явах эрх, дотооддоо дүрвэгсдийн эрх</t>
  </si>
  <si>
    <t xml:space="preserve">Зэвсэгт мөргөлдөөнд оролцогч талууд</t>
  </si>
  <si>
    <t xml:space="preserve">https://news.un.org/en/story/2026/10/1168499</t>
  </si>
  <si>
    <t xml:space="preserve">2026.10.03</t>
  </si>
  <si>
    <t xml:space="preserve">2023 оноос хойш; шүүх хурал 2026.10.06</t>
  </si>
  <si>
    <t xml:space="preserve">Greece: Rights Defenders on Trial /Грек: Хүний эрхийн хамгаалагчдыг шүүж байна/</t>
  </si>
  <si>
    <t xml:space="preserve">Грекийн Хельсинкийн хяналтын тэргүүн Панайоте Димитрас, "Aegean Boat Report"-ын үүсгэн байгуулагч, Норвегийн иргэн Томми Олсен болон Камеруны хоёр орогнол хүсэгчийг гуравдагч орны иргэдийг хууль бусаар нэвтрүүлэх гэмт бүлэглэлд оролцсон гэж буруутгаж, 20 хүртэлх жилийн хорих ял оногдуулах хэргийг 2026.10.06-нд Родос аралд шүүхээр хэлэлцэхээр болжээ. Тэд шинээр ирсэн цагаачдын талаар эрх баригчдад мэдэгдэж, орогнол хүсэх боломжийг нь хангаж ирсэн. HRW улс төрийн сэдэлтэй энэ хэргийг хэрэгсэхгүй болгохыг шаардав.</t>
  </si>
  <si>
    <t xml:space="preserve">Грек улс, Родос арал</t>
  </si>
  <si>
    <t xml:space="preserve">Хүний эрхийн хамгаалагчийн үйл ажиллагааны эрх чөлөө, орогнол хүсэх эрх, шударга шүүхээр шүүлгэх эрх</t>
  </si>
  <si>
    <t xml:space="preserve">Грекийн прокурор, эрх баригчид</t>
  </si>
  <si>
    <t xml:space="preserve">https://www.hrw.org/news/2026/10/03/greece-rights-defenders-on-trial</t>
  </si>
  <si>
    <t xml:space="preserve">2026.10.04</t>
  </si>
  <si>
    <t xml:space="preserve">2001.10.07-ноос хойш</t>
  </si>
  <si>
    <t xml:space="preserve">Afghans Await Justice 25 Years After War Began /Дайн эхэлснээс хойш 25 жилийн дараа ч афганчууд шударга ёсыг хүлээсээр/</t>
  </si>
  <si>
    <t xml:space="preserve">Афганистан дахь дайн эхэлснээс хойш 25 жил өнгөрсөн ч АНУ болон эвслийн орнууд дайны гэмт хэрэг, ноцтой зөрчлийн хохирогчдод шударга ёс, нөхөн төлбөр олгоогүй байна. АНУ-ын хүчин эрүүдэн шүүхтэй дүйцэх байцаалтын арга хэрэглэж, энгийн иргэдийг ял тулгалгүй олон жил хорьж байсан бөгөөд Вардак мужид 2014 онд дор хаяж 18 энгийн иргэнийг хөнөөсөн хэргийг хэзээ ч мөрдөн шалгаагүй байна. HRW мөрдөн шалгаж, хохирогчдод нөхөн төлбөр олгохыг уриалав.</t>
  </si>
  <si>
    <t xml:space="preserve">Афганистан</t>
  </si>
  <si>
    <t xml:space="preserve">Шударга шүүхээр шүүлгэх, хохирлоо барагдуулах эрх, эрүүдэн шүүхээс ангид байх эрх</t>
  </si>
  <si>
    <t xml:space="preserve">АНУ болон эвслийн орнуудын зэвсэгт хүчин</t>
  </si>
  <si>
    <t xml:space="preserve">https://www.hrw.org/news/2026/10/04/afghans-await-justice-25-years-after-war-began</t>
  </si>
  <si>
    <t xml:space="preserve">2026.01.21-ээс хойш</t>
  </si>
  <si>
    <t xml:space="preserve">Iraq: Dire Prospects for Alleged ISIS-Linked Men, Boys /Ирак: ISIS-тэй холбоотой гэх эрэгтэйчүүд, хөвгүүдийн хувь заяа хүнд байна/</t>
  </si>
  <si>
    <t xml:space="preserve">АНУ-ын цэргийнхэн 2026.01.21-02.12-ны хооронд ISIS-ийн гишүүн гэж сэжиглэгдсэн 5704 эрэгтэй, хөвгүүнийг Сирийн зүүн хойд хэсгээс Ирак руу шилжүүлсэн бөгөөд Багдадын ойролцоох Аль-Карх шоронд хоригдож буй тэдний 440 гаруй нь хүүхэд байна. Хоригдлууд эрүүдэн шүүлт, сүрьеэ зэрэг хүнд өвчинд өртөж, 15 хүн нас барсан бөгөөд цаазын ял оногдуулж болох шударга бус шүүхээр шүүгдэх эрсдэлтэй байна. HRW улс орнуудыг иргэдээ эх оронд нь буцаахыг уриалав.</t>
  </si>
  <si>
    <t xml:space="preserve">Ирак улс, Багдад (Аль-Карх шорон)</t>
  </si>
  <si>
    <t xml:space="preserve">Эрүүдэн шүүхээс ангид байх эрх, хоригдлын эрх, хүүхдийн эрх, шударга шүүхээр шүүлгэх эрх</t>
  </si>
  <si>
    <t xml:space="preserve">Иракийн эрх баригчид; иргэдээ буцаан авахгүй байгаа улс орнууд</t>
  </si>
  <si>
    <t xml:space="preserve">https://www.hrw.org/news/2026/10/05/iraq-dire-prospects-for-alleged-isis-linked-men-boys</t>
  </si>
  <si>
    <t xml:space="preserve">2026.09.21-ээс хойш</t>
  </si>
  <si>
    <t xml:space="preserve">France: Authorities must de-escalate tensions during student protests /Франц: Эрх баригчид сурагчдын жагсаалын үеэрх хурцадмал байдлыг намжаах ёстой/</t>
  </si>
  <si>
    <t xml:space="preserve">Францад 2026.09.21-ээс хойш ахлах сургуулийн сурагчид багшийн тоог нэмэх, ангийн дүүргэлтийг бууруулах, сургуулийн барилгыг аюулгүй болгохыг шаардаж улс даяар жагсаж байна. Цагдаа нулимс асгаруулагч хий, резинэн сум хэрэглэж, хүнд гэмтэл учруулсан бөгөөд Дотоод хэргийн яамны мэдээгээр 5000 гаруй хүнийг баривчилснаас 85 хувь нь хүүхэд байжээ. Amnesty International эрх баригчдыг хурцадмал байдлыг намжааж, хүч хэрэглээг хууль ёсны, зайлшгүй, хэмжээнд нь байлгахыг уриалав.</t>
  </si>
  <si>
    <t xml:space="preserve">Тайван жагсаал, цуглаан хийх эрх, хүүхдийн эрх, сурч боловсрох эрх</t>
  </si>
  <si>
    <t xml:space="preserve">Францын цагдаа, Дотоод хэргийн яам</t>
  </si>
  <si>
    <t xml:space="preserve">https://www.amnesty.org/en/latest/news/2026/10/france-authorities-must-de-escalate-tensions-during-student-protests/</t>
  </si>
  <si>
    <t xml:space="preserve">2026 оны 7-8 дугаар сар</t>
  </si>
  <si>
    <t xml:space="preserve">Tunisia: Power, Water Shortages Endanger Rights /Тунис: Цахилгаан, усны хомсдол хүний эрхэд аюул учруулж байна/</t>
  </si>
  <si>
    <t xml:space="preserve">Тунисын эрх баригчид 2026 оны зуны хэт халалтын үеэр цахилгаан, усны хангамжийг хангаж чадаагүйгээс эмнэлэг, усны насос станц, айл өрхүүд цахилгаангүй болж, Тунисын залуу эмч нарын холбооны тооцоогоор 7 дугаар сарын сүүлээр 150-200 хүн нас баржээ. 2026.08.13-нд Борж Эррас хотод усны асуудлаар жагсагчдаас 9 хүүхэд бүхий 12 хүнийг баривчилж, идэвхтэн Сейфеддин Арфауид 18 сарын хорих ял оноожээ.</t>
  </si>
  <si>
    <t xml:space="preserve">Тунис улс</t>
  </si>
  <si>
    <t xml:space="preserve">Эрүүл мэндээ хамгаалуулах эрх, цэвэр ус, ариун цэврийн эрх, тайван жагсаал хийх эрх</t>
  </si>
  <si>
    <t xml:space="preserve">Тунисын эрх баригчид, төрийн цахилгааны компани (STEG)</t>
  </si>
  <si>
    <t xml:space="preserve">https://www.hrw.org/news/2026/10/06/tunisia-power-water-shortages-endanger-rights</t>
  </si>
  <si>
    <t xml:space="preserve">2026.08.18-наас хойш</t>
  </si>
  <si>
    <t xml:space="preserve">Yemen: Houthis Prosecute UN, Civil Society Staff /Йемен: Хуситууд НҮБ болон иргэний нийгмийн ажилтнуудыг яллаж байна/</t>
  </si>
  <si>
    <t xml:space="preserve">Йемений хуситуудын де-факто эрх баригчид НҮБ-ын хоёр ажилтан, нэг зөвлөх болон иргэний нийгмийн таван ажилтныг цаазаар авах ял оногдуулж болох "тагнуул", "дайсанд туслах" хэргээр Санаа дахь тусгай прокурорт шилжүүлжээ. Зарим нь эрүүдэн шүүлт, заналхийллээр гэм буруугаа хүлээсэн гэж ар гэртээ хэлсэн бөгөөд өмгөөлөгчтэй уулзах боломж олгоогүй байна. 2026.10.05-ны байдлаар хуситууд НҮБ-ын 72 ажилтныг саатуулж байна.</t>
  </si>
  <si>
    <t xml:space="preserve">Йемен улс, Санаа</t>
  </si>
  <si>
    <t xml:space="preserve">Шударга шүүхээр шүүлгэх эрх, эрүүдэн шүүхээс ангид байх эрх, амьд явах эрх (цаазын ял), хүний эрхийн хамгаалагчийн эрх</t>
  </si>
  <si>
    <t xml:space="preserve">Хуситуудын де-факто эрх баригчид</t>
  </si>
  <si>
    <t xml:space="preserve">https://www.hrw.org/news/2026/10/06/yemen-houthis-prosecute-un-civil-society-staff</t>
  </si>
  <si>
    <t xml:space="preserve">2026.09.15-наас хойш</t>
  </si>
  <si>
    <t xml:space="preserve">Missing Lao Critic in Thailand Feared 'Disappeared' /Тайландад сураггүй болсон Лаосын шүүмжлэгч хүчээр алга болгогдсон байж болзошгүй/</t>
  </si>
  <si>
    <t xml:space="preserve">Лаосын засгийн газрыг шүүмжилсэн бичлэг нийтэлдэг 26 настай идэвхтэн, орогнол хүсэгч Хиео Лапчан 2026.09.15-ны шөнө Тайландын Самут Сакхон мужид ажлаасаа гарсны дараа сураггүй болжээ. Тэрээр НҮБ-ын Дүрвэгсдийн комиссарын газарт анхны ярилцлага өгөхөөс нэг өдрийн өмнө алга болсон бөгөөд өмнө нь заналхийлэл хүлээж байжээ. HRW Тайландын эрх баригчдыг эрэн хайх ажиллагааг эрчимжүүлэхийг уриалав.</t>
  </si>
  <si>
    <t xml:space="preserve">Тайланд улс, Самут Сакхон муж</t>
  </si>
  <si>
    <t xml:space="preserve">Хүчээр алга болгохоос хамгаалагдах эрх, үзэл бодлоо илэрхийлэх эрх, орогнол хүсэх эрх</t>
  </si>
  <si>
    <t xml:space="preserve">Тодорхойгүй (Лаосын эрх баригчдын улс дамнасан хэлмэгдүүлэлт байж болзошгүй)</t>
  </si>
  <si>
    <t xml:space="preserve">https://www.hrw.org/news/2026/10/06/missing-lao-critic-in-thailand-feared-disappeared</t>
  </si>
  <si>
    <t xml:space="preserve">EU Ending Funding for Anti-Racism Network /ЕХ арьс өнгөөр ялгаварлахын эсрэг сүлжээний санхүүжилтийг зогсоож байна/</t>
  </si>
  <si>
    <t xml:space="preserve">Европын Комисс Европ даяарх арьс өнгөөр ялгаварлахын эсрэг 140 гаруй байгууллагыг нэгтгэдэг Европын арьс өнгөөр ялгаварлахын эсрэг сүлжээ (ENAR)-ний үйл ажиллагааны санхүүжилтийг 20 гаруй жилийн дараа зогсоосноор тус сүлжээ 2026 оны эцэст хаагдах эрсдэлтэй болжээ. HRW зэрэг 186 ТББ энэ шийдвэр нь ЕХ-ны ардчиллын бодлого, иргэний нийгмийн орон зайг сулруулна гэж шүүмжилжээ.</t>
  </si>
  <si>
    <t xml:space="preserve">Европын Холбоо</t>
  </si>
  <si>
    <t xml:space="preserve">Ялгаварлан гадуурхалтаас ангид байх эрх, тэгш эрх, эвлэлдэн нэгдэх эрх</t>
  </si>
  <si>
    <t xml:space="preserve">Европын Комисс</t>
  </si>
  <si>
    <t xml:space="preserve">https://www.hrw.org/news/2026/10/06/eu-ending-funding-for-anti-racism-network</t>
  </si>
  <si>
    <t xml:space="preserve">Цөөнх, үндэстэн ястан</t>
  </si>
  <si>
    <t xml:space="preserve">2026.07.01-09.17</t>
  </si>
  <si>
    <t xml:space="preserve">Saudi Arabia: Overturn death sentence against Sri Lankan migrant worker over social media post /Саудын Араб: Олон нийтийн сүлжээнд бичсэн сэтгэгдлийн төлөө Шри Ланкийн цагаач ажилчинд оноосон цаазын ялыг хүчингүй болгох ёстой/</t>
  </si>
  <si>
    <t xml:space="preserve">Шри Ланкийн 24 настай цагаач ажилчин Анжоан Сиварасаг фэйсбүүкт бичсэн, дараа нь устгаж уучлалт гуйсан сэтгэгдлийнх нь төлөө 2026.07.01-нд баривчилж, Аль-Ахса хотын Эрүүгийн шүүх таван жил хорих, 3 сая риалын торгууль оногдуулжээ. Зүүн мужийн давж заалдах шүүх 2026.09.17-нд Кибер гэмт хэргийн эсрэг хуулийн дагуу "доромжлол"-ын хэргээр ялыг цаазын ял болгон хүндрүүлсэн байна. Amnesty International цаазын ялыг хүчингүй болгож, түүнийг нэн даруй суллахыг шаардав.</t>
  </si>
  <si>
    <t xml:space="preserve">Саудын Араб, Аль-Ахса</t>
  </si>
  <si>
    <t xml:space="preserve">Үзэл бодлоо илэрхийлэх эрх, амьд явах эрх (цаазын ял), цагаач ажилчдын эрх, шашин шүтэх, эс шүтэх эрх чөлөө</t>
  </si>
  <si>
    <t xml:space="preserve">Саудын Арабын шүүх, эрх баригчид</t>
  </si>
  <si>
    <t xml:space="preserve">https://www.amnesty.org/en/latest/news/2026/10/saudi-arabia-overturn-death-sentence-against-sri-lankan-migrant-worker-over-social-media-post/</t>
  </si>
  <si>
    <t xml:space="preserve">2026 оны 2-7 дугаар сар</t>
  </si>
  <si>
    <t xml:space="preserve">US: Deportations to African Countries Not Their Own /АНУ: Хүмүүсийг өөрийн биш Африкийн орнууд руу албадан гаргаж байна/</t>
  </si>
  <si>
    <t xml:space="preserve">HRW-ийн "To Scare People" тайланд АНУ-ын засаг захиргаа эх орондоо аюулд өртөх тул буцаах боломжгүй 500 гаруй хүнийг ямар ч холбоогүй Камерун, Төв Африк, БНАКУ, Экваторын Гвиней, Эсватини, Өмнөд Судан руу албадан гаргасныг баримтжуулжээ. Тэдэнд шийдвэрийг эсэргүүцэх бодит боломж олгоогүй, зарим нь очсон даруйдаа хоригдож, эсвэл хавчлагад өртөх эх орон руугаа дамжуулан илгээгдсэн бөгөөд дор хаяж 12 ЛГБТ хүнийг ижил хүйстний харилцааг гэмт хэрэг гэж үздэг улсад илгээжээ.</t>
  </si>
  <si>
    <t xml:space="preserve">АНУ; Камерун, Төв Африкийн Бүгд Найрамдах Улс, БНАКУ, Экваторын Гвиней, Эсватини, Өмнөд Судан</t>
  </si>
  <si>
    <t xml:space="preserve">Орогнол хүсэх эрх, аюултай орон руу буцаахгүй байх зарчим, шударга журмаар шийдвэрлүүлэх эрх</t>
  </si>
  <si>
    <t xml:space="preserve">АНУ-ын засаг захиргаа; хүлээн авч буй Африкийн засгийн газрууд</t>
  </si>
  <si>
    <t xml:space="preserve">https://www.hrw.org/news/2026/10/08/us-deportations-to-african-countries-not-their-own</t>
  </si>
  <si>
    <t xml:space="preserve">2026 оны 3 дугаар сар - 2026.10.05</t>
  </si>
  <si>
    <t xml:space="preserve">Blogger Jailed for Four Years in Uzbekistan /Узбекистанд блогчид дөрвөн жилийн хорих ял оноов/</t>
  </si>
  <si>
    <t xml:space="preserve">915 мянга гаруй дагагчтай "Sirojiddin Media" YouTube сувгийн блогч Сирожиддин Адиловыг 2026 оны 3 дугаар сард баривчилж, 2026.10.05-нд шүүх дээрэмдэх, залилах хэргээр дөрвөн жилийн хорих ял оноожээ. Тэрээр цагдаагийн эрх мэдлээ урвуулан ашигласан тухай мэдээлснээс хойш хэдэн сарын дараа баривчлагдсан бөгөөд өмгөөлөгчөө сонгох эрхгүй байсан, гэр, машиныг нь зөвшөөрөлгүй нэгжсэн зэрэг процессын зөрчил гарсан байна.</t>
  </si>
  <si>
    <t xml:space="preserve">Узбекистан улс</t>
  </si>
  <si>
    <t xml:space="preserve">Үзэл бодлоо илэрхийлэх эрх, шударга шүүхээр шүүлгэх эрх</t>
  </si>
  <si>
    <t xml:space="preserve">Узбекистаны эрх баригчид, шүүх</t>
  </si>
  <si>
    <t xml:space="preserve">https://www.hrw.org/news/2026/10/08/blogger-jailed-for-four-years-in-uzbekistan</t>
  </si>
  <si>
    <t xml:space="preserve">Bahrain: Authorities Rearrest Pardoned Detainees /Бахрейн: Эрх баригчид өршөөгдсөн хоригдлуудыг дахин баривчиллаа/</t>
  </si>
  <si>
    <t xml:space="preserve">Бахрейны эрх баригчид хааны өршөөлөөр суллагдсан хүний эрхийн хамгаалагч Нажи Фатил зэрэг дор хаяж есөн хүнийг 2015 оны шоронгийн эсэргүүцэлтэй холбоотой төлөгдөөгүй торгууль (нийт 1.35 сая ам.доллар орчим) гэх үндэслэлээр 2026 оны 7-8 дугаар сард дахин баривчилжээ. Фатилыг 2026.08.18-нд захирамжгүйгээр баривчилсан бөгөөд тэд 2024 оны өршөөлд торгууль хамаарсан гэж үзэж байна.</t>
  </si>
  <si>
    <t xml:space="preserve">Бахрейн улс</t>
  </si>
  <si>
    <t xml:space="preserve">Дур мэдэн саатуулахаас ангид байх, халдашгүй чөлөөтэй байх эрх, хүний эрхийн хамгаалагчийн эрх</t>
  </si>
  <si>
    <t xml:space="preserve">Бахрейны эрх баригчид</t>
  </si>
  <si>
    <t xml:space="preserve">https://www.hrw.org/news/2026/10/08/bahrain-authorities-rearrest-pardoned-detainees</t>
  </si>
  <si>
    <t xml:space="preserve">UN Child Rights Committee Calls for Free Pre-Primary Education in Uganda /НҮБ-ын Хүүхдийн эрхийн хороо Угандад сургуулийн өмнөх үнэгүй боловсрол олгохыг уриаллаа/</t>
  </si>
  <si>
    <t xml:space="preserve">НҮБ-ын Хүүхдийн эрхийн хороо 2026.10.01-нд Угандагийн илтгэлийг хэлэлцээд, сургуулийн өмнөх боловсролын хүртээмж маш хязгаарлагдмал, ялангуяа хөдөөгийн болон хөгжлийн бэрхшээлтэй хүүхдүүд хамрагдахгүй байгааг онцолж, төрийн үнэгүй сургуулийн өмнөх боловсрол олгохыг зөвлөжээ. Угандад 3-5 насны хүүхдийн 10-д нэг хүрэхгүй нь бүртгэлтэй цэцэрлэгт хамрагдаж, 60 хувь нь бага сургуулиас өмнө огт сургуульд хамрагддаггүй.</t>
  </si>
  <si>
    <t xml:space="preserve">Хүүхдийн сурч боловсрох эрх, боловсролын хүртээмж</t>
  </si>
  <si>
    <t xml:space="preserve">Угандагийн Засгийн газар</t>
  </si>
  <si>
    <t xml:space="preserve">https://www.hrw.org/news/2026/10/08/un-child-rights-committee-calls-for-free-pre-primary-education-in-uganda</t>
  </si>
  <si>
    <t xml:space="preserve">Боловсролын эрх</t>
  </si>
  <si>
    <t xml:space="preserve">Airstrike Damages Hospital in Central Ukraine /Украины төв хэсэгт агаарын цохилтоор эмнэлэг эвдэрлээ/</t>
  </si>
  <si>
    <t xml:space="preserve">ОХУ-ын агаарын цохилтоор 2026.10.06-нд Украины Кривий Рих хотын эмнэлэг эвдэрч, дор хаяж хоёр эмнэлгийн ажилтан зэрэг хэд хэдэн хүн шархаджээ. Цохилтоор орон сууц, захиргааны барилга, урлагийн сургууль мөн эвдэрсэн. HRW эрүүл мэндийн байгууламж руу дахин дахин халдах нь эрүүл мэндийн эрхийг зөрчиж, зарим тохиолдолд дайны гэмт хэрэгт тооцогдож болохыг онцлов.</t>
  </si>
  <si>
    <t xml:space="preserve">Украин, Кривий Рих хот</t>
  </si>
  <si>
    <t xml:space="preserve">Эрүүл мэндээ хамгаалуулах эрх, амьд явах эрх, олон улсын хүмүүнлэгийн эрх зүй</t>
  </si>
  <si>
    <t xml:space="preserve">ОХУ-ын зэвсэгт хүчин</t>
  </si>
  <si>
    <t xml:space="preserve">https://www.hrw.org/news/2026/10/08/airstrike-damages-hospital-in-central-ukraine</t>
  </si>
  <si>
    <t xml:space="preserve">2026 оны 7-9 дүгээр сар</t>
  </si>
  <si>
    <t xml:space="preserve">UNAMA expresses Concern over De Facto Authority Arrests of Afghan Women and Girls /НҮБ-ын Афганистан дахь төлөөлөгчийн газар де-факто эрх баригчид эмэгтэйчүүд, охидыг баривчилж байгаад санаа зовнилоо/</t>
  </si>
  <si>
    <t xml:space="preserve">НҮБ-ын Афганистан дахь туслалцааны төлөөлөгчийн газар (UNAMA) 2026 оны 7-9 дүгээр сард Херат, Кабул хотод дор хаяж 52 эмэгтэй, нэг охиныг хувцаслалтын журам зөрчсөн гэх (чадор өмсөөгүй, үс харагдсан, тод алчуур зүүсэн, будалт хийсэн, эрэгтэй асран хамгаалагчгүй гарсан) үндэслэлээр баривчилж, саатуулсныг баталгаажуулжээ. Эмэгтэйчүүдийг хэдэн цагийн дараа суллаж байсан бөгөөд доромжлох, зодох, заналхийлэх тохиолдол бүртгэгдсэн байна.</t>
  </si>
  <si>
    <t xml:space="preserve">Афганистан, Херат, Кабул</t>
  </si>
  <si>
    <t xml:space="preserve">Хүйсээр ялгаварлан гадуурхагдахгүй байх эрх, халдашгүй чөлөөтэй байх эрх, чөлөөтэй зорчих эрх</t>
  </si>
  <si>
    <t xml:space="preserve">Афганистаны де-факто эрх баригчид (Талибан)</t>
  </si>
  <si>
    <t xml:space="preserve">UNAMA, UN News</t>
  </si>
  <si>
    <t xml:space="preserve">https://unama.unmissions.org/en/press-releases/unama-expresses-concern-over-de-facto-authority-arrests-of-afghan-women-and
https://news.un.org/en/story/2026/10/1168551</t>
  </si>
  <si>
    <t xml:space="preserve">War's Hidden Mental Health Toll on Children with Disabilities /Дайн хөгжлийн бэрхшээлтэй хүүхдийн сэтгэцийн эрүүл мэндэд далд хор хохирол учруулж байна/</t>
  </si>
  <si>
    <t xml:space="preserve">Дэлхийн сэтгэцийн эрүүл мэндийн өдрөөр HRW Сири, Газ, Судан зэрэг мөргөлдөөнд өртсөн бүс нутагт хөгжлийн бэрхшээлтэй хүүхдүүд хүмүүнлэгийн тусламж, сэтгэцийн эрүүл мэндийн үйлчилгээнээс гадуурхагдаж байгааг онцолжээ. Мөргөлдөөнд өртсөн хүмүүсийн 20 гаруй хувь нь гэмтлийн дараах стресс, сэтгэл гутрал, түгшүүрийн эмгэгтэй байдаг гэж тооцоолдог.</t>
  </si>
  <si>
    <t xml:space="preserve">Сири, Газын зурвас, Судан</t>
  </si>
  <si>
    <t xml:space="preserve">Хөгжлийн бэрхшээлтэй хүүхдийн эрүүл мэндээ хамгаалуулах, тусламж үйлчилгээ тэгш авах эрх</t>
  </si>
  <si>
    <t xml:space="preserve">Засгийн газрууд, хүмүүнлэгийн байгууллагууд</t>
  </si>
  <si>
    <t xml:space="preserve">https://www.hrw.org/news/2026/10/09/wars-hidden-mental-health-toll-on-children-with-disabilities</t>
  </si>
  <si>
    <t xml:space="preserve">2025-2026 он</t>
  </si>
  <si>
    <t xml:space="preserve">Syria: detentions of Syrians by Israeli forces amid ongoing Israeli incursions /Сири: Израилийн хүчин Сирийн нутагт нэвтрэн, Сирийн иргэдийг саатуулсаар байна/</t>
  </si>
  <si>
    <t xml:space="preserve">НҮБ-ын Хүний эрхийн дээд комиссарын газрын мэдээлснээр 49 Сирийн иргэн Израилийн хорионд байгаа бөгөөд зарим нь нэг жилээс илүү хугацаанд үндэслэлээ мэдэгдэлгүйгээр, үл мэдэгдэх байгууламжуудад шилжүүлэгдэн хоригдож байна. Суллагдсан хоригдлууд зодуулсан, удаан хугацаагаар зогсоосон, нохой тавьсан, ар гэрийг нь заналхийлсэн гэж мэдээлжээ. Израилийн хүчин Сирийн өмнөд хэсэг, түүний дотор Кунейтра мужийн тосгодод тогтмол нэвтэрч байна.</t>
  </si>
  <si>
    <t xml:space="preserve">Сири, Кунейтра муж</t>
  </si>
  <si>
    <t xml:space="preserve">Дур мэдэн саатуулахаас ангид байх эрх, эрүүдэн шүүх, хүнлэг бус харьцаанаас ангид байх эрх</t>
  </si>
  <si>
    <t xml:space="preserve">OHCHR /НҮБ-ын Хүний эрхийн дээд комиссарын газар/</t>
  </si>
  <si>
    <t xml:space="preserve">https://www.ohchr.org/en/press-briefing-notes/2026/10/syria-detentions-syrians-israeli-forces-amid-ongoing-israeli</t>
  </si>
  <si>
    <t xml:space="preserve">Эрүүдэн шүүлт, хүнлэг бус харьцаа</t>
  </si>
  <si>
    <t xml:space="preserve">2025 оны 2 дугаар сараас хойш</t>
  </si>
  <si>
    <t xml:space="preserve">New US sanctions against International Criminal Court unacceptable – Türk /АНУ-аас Олон улсын эрүүгийн шүүхэд тавьсан шинэ хориг арга хэмжээг хүлээн зөвшөөрөх боломжгүй – Түрк/</t>
  </si>
  <si>
    <t xml:space="preserve">АНУ-ын засгийн газар Олон улсын эрүүгийн шүүхэд байгууллагын түвшний шинэ хориг арга хэмжээ тавьсныг НҮБ-ын Хүний эрхийн дээд комиссар Фолькер Түрк хүлээн зөвшөөрөх боломжгүй гэж мэдэгджээ. 2025 оны 2 дугаар сараас хойшх хориг арга хэмжээ шүүхийн 18 шүүгчийн талд, хуучин прокурор, хоёр дэд прокурор, ахлах ажилтанд хамаарч байна. Түрк Ромын дүрмийн 125 оролцогч улсыг шүүхийг хамгаалахыг уриалж, бүх хориг арга хэмжээг цуцлахыг шаардав.</t>
  </si>
  <si>
    <t xml:space="preserve">АНУ; Олон улсын эрүүгийн шүүх (Гааг)</t>
  </si>
  <si>
    <t xml:space="preserve">Шударга шүүхээр шүүлгэх, хохирогчдын шударга ёс, нөхөн төлбөр авах эрх</t>
  </si>
  <si>
    <t xml:space="preserve">АНУ-ын засгийн газар</t>
  </si>
  <si>
    <t xml:space="preserve">https://www.ohchr.org/en/press-releases/2026/10/new-us-sanctions-against-international-criminal-court-unacceptable-turk</t>
  </si>
  <si>
    <t xml:space="preserve">2025.10.10-наас хойш</t>
  </si>
  <si>
    <t xml:space="preserve">Gaza: Ceasefire Anniversary Marks Year of Failed Promises /Газ: Гал зогсоосны нэг жилийн ой биелээгүй амлалтын жил боллоо/</t>
  </si>
  <si>
    <t xml:space="preserve">2025.10.10-нд гал зогсоох хэлэлцээр хүчин төгөлдөр болсноос хойш Газын Эрүүл мэндийн яамны мэдээгээр Израилийн хүчний үйлдлээр дор хаяж 1400 палестин хүн амиа алдаж, 4881 хүн шархаджээ. Хүн амын 94 хувь нь хангалттай орон байргүй, тусламжийн хэмжээ шаардлагаас хол доогуур, сэргээн босголт эхлээгүй байна. HRW гал зогсоолтын хугацаанд хүчээр нүүлгэн шилжүүлэх зэрэг ноцтой гэмт хэрэг үргэлжилсээр байна гэж үзэж, бусад улсыг энгийн иргэдийг хамгаалах арга хэмжээ авахыг уриалав.</t>
  </si>
  <si>
    <t xml:space="preserve">Амьд явах эрх, хүнс, орон байртай байх эрх, хүмүүнлэгийн тусламж авах эрх</t>
  </si>
  <si>
    <t xml:space="preserve">https://www.hrw.org/news/2026/10/10/gaza-ceasefire-anniversary-marks-year-of-failed-promises</t>
  </si>
  <si>
    <t xml:space="preserve">АНГИЛЛЫН ТОХИРГОО</t>
  </si>
  <si>
    <t xml:space="preserve">Түлхүүр үгийг өөрчилж болно. Дараалал чухал — эхний тохирсон ангиллыг авна.</t>
  </si>
  <si>
    <t xml:space="preserve">Түлхүүр үг 1</t>
  </si>
  <si>
    <t xml:space="preserve">Түлхүүр үг 2</t>
  </si>
  <si>
    <t xml:space="preserve">Түлхүүр үг 3</t>
  </si>
  <si>
    <t xml:space="preserve">Түлхүүр үг 4</t>
  </si>
  <si>
    <t xml:space="preserve">эрүүдэн</t>
  </si>
  <si>
    <t xml:space="preserve">хүнлэг бус</t>
  </si>
  <si>
    <t xml:space="preserve">саатуул</t>
  </si>
  <si>
    <t xml:space="preserve">хоригд</t>
  </si>
  <si>
    <t xml:space="preserve">хүүхд</t>
  </si>
  <si>
    <t xml:space="preserve">бага насны</t>
  </si>
  <si>
    <t xml:space="preserve">өсвөр насны</t>
  </si>
  <si>
    <t xml:space="preserve">сурагч</t>
  </si>
  <si>
    <t xml:space="preserve">өсвөр</t>
  </si>
  <si>
    <t xml:space="preserve">эмэгтэй</t>
  </si>
  <si>
    <t xml:space="preserve">охид</t>
  </si>
  <si>
    <t xml:space="preserve">жирэмсэн</t>
  </si>
  <si>
    <t xml:space="preserve">эхчүүд</t>
  </si>
  <si>
    <t xml:space="preserve">амьд явах</t>
  </si>
  <si>
    <t xml:space="preserve">халдашгүй</t>
  </si>
  <si>
    <t xml:space="preserve">бие махбод</t>
  </si>
  <si>
    <t xml:space="preserve">аюулгүй байх</t>
  </si>
  <si>
    <t xml:space="preserve">хөгжлийн бэрхшээл</t>
  </si>
  <si>
    <t xml:space="preserve">тэргэнцэр</t>
  </si>
  <si>
    <t xml:space="preserve">хараагүй</t>
  </si>
  <si>
    <t xml:space="preserve">дүлий</t>
  </si>
  <si>
    <t xml:space="preserve">эрүүл мэнд</t>
  </si>
  <si>
    <t xml:space="preserve">эмнэлэг</t>
  </si>
  <si>
    <t xml:space="preserve">эмийн</t>
  </si>
  <si>
    <t xml:space="preserve">тусламж үйлчилгээ</t>
  </si>
  <si>
    <t xml:space="preserve">ахмад</t>
  </si>
  <si>
    <t xml:space="preserve">өндөр настан</t>
  </si>
  <si>
    <t xml:space="preserve">тэтгэвэрт</t>
  </si>
  <si>
    <t xml:space="preserve">өтөл</t>
  </si>
  <si>
    <t xml:space="preserve">эрүүл, аюулгүй</t>
  </si>
  <si>
    <t xml:space="preserve">эрүүл орчин</t>
  </si>
  <si>
    <t xml:space="preserve">байгаль орчин</t>
  </si>
  <si>
    <t xml:space="preserve">агаарын бохирдол</t>
  </si>
  <si>
    <t xml:space="preserve">цөөнх</t>
  </si>
  <si>
    <t xml:space="preserve">үндэстэн</t>
  </si>
  <si>
    <t xml:space="preserve">ястан</t>
  </si>
  <si>
    <t xml:space="preserve">угсаа</t>
  </si>
  <si>
    <t xml:space="preserve">хүчирхийл</t>
  </si>
  <si>
    <t xml:space="preserve">бэлгийн дарамт</t>
  </si>
  <si>
    <t xml:space="preserve">дарамт</t>
  </si>
  <si>
    <t xml:space="preserve">мөлжлөг</t>
  </si>
  <si>
    <t xml:space="preserve">дүрвэгс</t>
  </si>
  <si>
    <t xml:space="preserve">цагаач</t>
  </si>
  <si>
    <t xml:space="preserve">дүрвэсэн</t>
  </si>
  <si>
    <t xml:space="preserve">refugee</t>
  </si>
  <si>
    <t xml:space="preserve">ялгаварлан</t>
  </si>
  <si>
    <t xml:space="preserve">тэгш эрх</t>
  </si>
  <si>
    <t xml:space="preserve">тэгш байдал</t>
  </si>
  <si>
    <t xml:space="preserve">адил тэгш</t>
  </si>
  <si>
    <t xml:space="preserve">ялтан</t>
  </si>
  <si>
    <t xml:space="preserve">цагдан хорих</t>
  </si>
  <si>
    <t xml:space="preserve">үзэл бодл</t>
  </si>
  <si>
    <t xml:space="preserve">хэвлэн</t>
  </si>
  <si>
    <t xml:space="preserve">мэдээлэл авах</t>
  </si>
  <si>
    <t xml:space="preserve">үг хэлэх</t>
  </si>
  <si>
    <t xml:space="preserve">ажилчин</t>
  </si>
  <si>
    <t xml:space="preserve">хөдөлмөр эрхлэ</t>
  </si>
  <si>
    <t xml:space="preserve">ажилтан</t>
  </si>
  <si>
    <t xml:space="preserve">цалин</t>
  </si>
  <si>
    <t xml:space="preserve">шүүх</t>
  </si>
  <si>
    <t xml:space="preserve">шударга шүүх</t>
  </si>
  <si>
    <t xml:space="preserve">хэрэг хянан</t>
  </si>
  <si>
    <t xml:space="preserve">өмгөөл</t>
  </si>
  <si>
    <t xml:space="preserve">сэтгүүлч</t>
  </si>
  <si>
    <t xml:space="preserve">хүний эрхийн хамгаалагч</t>
  </si>
  <si>
    <t xml:space="preserve">идэвхтэн</t>
  </si>
  <si>
    <t xml:space="preserve">блогч</t>
  </si>
  <si>
    <t xml:space="preserve">Хөдөлмөрлөх эрх</t>
  </si>
  <si>
    <t xml:space="preserve">хөдөлмөр</t>
  </si>
  <si>
    <t xml:space="preserve">ажлын байр</t>
  </si>
  <si>
    <t xml:space="preserve">ажил эрхлэх</t>
  </si>
  <si>
    <t xml:space="preserve">ЛГБТ иргэд</t>
  </si>
  <si>
    <t xml:space="preserve">лгбт</t>
  </si>
  <si>
    <t xml:space="preserve">бэлгийн чиг баримж</t>
  </si>
  <si>
    <t xml:space="preserve">ижил хүйс</t>
  </si>
  <si>
    <t xml:space="preserve">lgbt</t>
  </si>
  <si>
    <t xml:space="preserve">нийгмийн хамгаал</t>
  </si>
  <si>
    <t xml:space="preserve">халамж</t>
  </si>
  <si>
    <t xml:space="preserve">тэтгэвэр</t>
  </si>
  <si>
    <t xml:space="preserve">тэтгэмж</t>
  </si>
  <si>
    <t xml:space="preserve">Малчид, хөдөөгийн иргэд</t>
  </si>
  <si>
    <t xml:space="preserve">малчин</t>
  </si>
  <si>
    <t xml:space="preserve">хөдөөгийн</t>
  </si>
  <si>
    <t xml:space="preserve">сум </t>
  </si>
  <si>
    <t xml:space="preserve">бэлчээр</t>
  </si>
  <si>
    <t xml:space="preserve">боловсрол</t>
  </si>
  <si>
    <t xml:space="preserve">сурал</t>
  </si>
  <si>
    <t xml:space="preserve">сургууль</t>
  </si>
  <si>
    <t xml:space="preserve">цэцэрлэг</t>
  </si>
  <si>
    <t xml:space="preserve">өвчт</t>
  </si>
  <si>
    <t xml:space="preserve">эмчлүүлэг</t>
  </si>
  <si>
    <t xml:space="preserve">хавдар</t>
  </si>
  <si>
    <t xml:space="preserve">шижин</t>
  </si>
  <si>
    <t xml:space="preserve">хүнс</t>
  </si>
  <si>
    <t xml:space="preserve">хоол</t>
  </si>
  <si>
    <t xml:space="preserve">цэвэр ус</t>
  </si>
  <si>
    <t xml:space="preserve">орон сууц</t>
  </si>
  <si>
    <t xml:space="preserve">зорчих</t>
  </si>
  <si>
    <t xml:space="preserve">эвлэлдэн</t>
  </si>
  <si>
    <t xml:space="preserve">цуглаан</t>
  </si>
  <si>
    <t xml:space="preserve">жагсаал</t>
  </si>
  <si>
    <t xml:space="preserve">хувийн</t>
  </si>
  <si>
    <t xml:space="preserve">нууцлал</t>
  </si>
  <si>
    <t xml:space="preserve">хувь хүний мэдээлэл</t>
  </si>
  <si>
    <t xml:space="preserve">цахим халдлага</t>
  </si>
  <si>
    <t xml:space="preserve">Өмчлөх эрх</t>
  </si>
  <si>
    <t xml:space="preserve">өмч</t>
  </si>
  <si>
    <t xml:space="preserve">газар эзэмш</t>
  </si>
  <si>
    <t xml:space="preserve">хөрөнгө</t>
  </si>
  <si>
    <t xml:space="preserve">нөхөн олговор</t>
  </si>
  <si>
    <t xml:space="preserve">Шашин шүтэх эрх</t>
  </si>
  <si>
    <t xml:space="preserve">шашин</t>
  </si>
  <si>
    <t xml:space="preserve">сүсэг</t>
  </si>
  <si>
    <t xml:space="preserve">мөргөл</t>
  </si>
  <si>
    <t xml:space="preserve">Улс төрийн оролцооны эрх</t>
  </si>
  <si>
    <t xml:space="preserve">улс төр</t>
  </si>
  <si>
    <t xml:space="preserve">сонгууль</t>
  </si>
  <si>
    <t xml:space="preserve">өргөдөл</t>
  </si>
  <si>
    <t xml:space="preserve">гомдол гаргах</t>
  </si>
  <si>
    <t xml:space="preserve">ХҮНИЙ ЭРХИЙН ЗӨРЧЛИЙН МЭДЭЭЛЛИЙН ДАШБОАРД </t>
  </si>
  <si>
    <t xml:space="preserve">НИЙТ МЭДЭЭЛЭЛ</t>
  </si>
  <si>
    <t xml:space="preserve">ДОТООД (Монгол)</t>
  </si>
  <si>
    <t xml:space="preserve">ГАДААД (Олон улс)</t>
  </si>
  <si>
    <t xml:space="preserve">1. ЭРХИЙН ТӨРЛӨӨР</t>
  </si>
  <si>
    <t xml:space="preserve">2. НИЙГМИЙН БҮЛГЭЭР</t>
  </si>
  <si>
    <t xml:space="preserve">Эрхийн ангилал</t>
  </si>
  <si>
    <t xml:space="preserve">Дотоод</t>
  </si>
  <si>
    <t xml:space="preserve">Гадаад</t>
  </si>
  <si>
    <t xml:space="preserve">Нийт</t>
  </si>
  <si>
    <t xml:space="preserve">Эзлэх %</t>
  </si>
  <si>
    <t xml:space="preserve">Нийгмийн бүлэг</t>
  </si>
  <si>
    <t xml:space="preserve">Ерөнхий нийт / бүлэг тодорхойгүй</t>
  </si>
  <si>
    <t xml:space="preserve">НИЙТ</t>
  </si>
  <si>
    <t xml:space="preserve">3. ГАДААД / ДОТООД ХАРЬЦУУЛАЛТ</t>
  </si>
  <si>
    <t xml:space="preserve">Хамрах хүрээ</t>
  </si>
  <si>
    <t xml:space="preserve">Тоо</t>
  </si>
  <si>
    <t xml:space="preserve">Эрх төрөл</t>
  </si>
  <si>
    <t xml:space="preserve">Бүлэг төрөл</t>
  </si>
  <si>
    <t xml:space="preserve">Дотоод (Монгол)</t>
  </si>
  <si>
    <t xml:space="preserve">Бусад / ангилагдаагүй</t>
  </si>
  <si>
    <t xml:space="preserve">Гадаад (Олон улс)</t>
  </si>
  <si>
    <t xml:space="preserve">ГРАФИКИЙН ӨГӨГДӨЛ (автомат — гараар засахгүй)</t>
  </si>
</sst>
</file>

<file path=xl/styles.xml><?xml version="1.0" encoding="utf-8"?>
<styleSheet xmlns="http://schemas.openxmlformats.org/spreadsheetml/2006/main">
  <numFmts count="5">
    <numFmt numFmtId="164" formatCode="General"/>
    <numFmt numFmtId="165" formatCode="@"/>
    <numFmt numFmtId="166" formatCode="General"/>
    <numFmt numFmtId="167" formatCode="#,##0;;\-"/>
    <numFmt numFmtId="168" formatCode="0.0%"/>
  </numFmts>
  <fonts count="28">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b val="true"/>
      <sz val="11"/>
      <color rgb="FFFF0000"/>
      <name val="Arial"/>
      <family val="0"/>
      <charset val="1"/>
    </font>
    <font>
      <u val="single"/>
      <sz val="11"/>
      <color theme="10"/>
      <name val="Arial"/>
      <family val="0"/>
      <charset val="1"/>
    </font>
    <font>
      <u val="single"/>
      <sz val="11"/>
      <color theme="10"/>
      <name val="Calibri"/>
      <family val="2"/>
      <charset val="1"/>
    </font>
    <font>
      <sz val="10"/>
      <name val="Arial"/>
      <family val="2"/>
    </font>
    <font>
      <b val="true"/>
      <sz val="14"/>
      <color rgb="FF1F3864"/>
      <name val="Arial"/>
      <family val="0"/>
      <charset val="1"/>
    </font>
    <font>
      <sz val="10"/>
      <color theme="1"/>
      <name val="Arial"/>
      <family val="0"/>
      <charset val="1"/>
    </font>
    <font>
      <i val="true"/>
      <sz val="9"/>
      <color rgb="FF7F7F7F"/>
      <name val="Arial"/>
      <family val="0"/>
      <charset val="1"/>
    </font>
    <font>
      <b val="true"/>
      <sz val="11"/>
      <color rgb="FFFFFFFF"/>
      <name val="Arial"/>
      <family val="0"/>
      <charset val="1"/>
    </font>
    <font>
      <b val="true"/>
      <sz val="10"/>
      <color theme="1"/>
      <name val="Arial"/>
      <family val="0"/>
      <charset val="1"/>
    </font>
    <font>
      <sz val="10"/>
      <color rgb="FF0070C0"/>
      <name val="Arial"/>
      <family val="0"/>
      <charset val="1"/>
    </font>
    <font>
      <b val="true"/>
      <sz val="14"/>
      <color rgb="FFFFFFFF"/>
      <name val="Arial"/>
      <family val="0"/>
      <charset val="1"/>
    </font>
    <font>
      <b val="true"/>
      <sz val="9"/>
      <color rgb="FFFFFFFF"/>
      <name val="Arial"/>
      <family val="0"/>
      <charset val="1"/>
    </font>
    <font>
      <b val="true"/>
      <sz val="14"/>
      <color rgb="FF2E75B6"/>
      <name val="Arial"/>
      <family val="0"/>
      <charset val="1"/>
    </font>
    <font>
      <b val="true"/>
      <sz val="14"/>
      <color rgb="FF548235"/>
      <name val="Arial"/>
      <family val="0"/>
      <charset val="1"/>
    </font>
    <font>
      <b val="true"/>
      <sz val="14"/>
      <color rgb="FFC55A11"/>
      <name val="Arial"/>
      <family val="0"/>
      <charset val="1"/>
    </font>
    <font>
      <b val="true"/>
      <sz val="12"/>
      <color rgb="FFFFFFFF"/>
      <name val="Arial"/>
      <family val="0"/>
      <charset val="1"/>
    </font>
    <font>
      <b val="true"/>
      <sz val="10"/>
      <color rgb="FFFFFFFF"/>
      <name val="Arial"/>
      <family val="0"/>
      <charset val="1"/>
    </font>
    <font>
      <b val="true"/>
      <sz val="8"/>
      <color rgb="FFBFBFBF"/>
      <name val="Arial"/>
      <family val="0"/>
      <charset val="1"/>
    </font>
    <font>
      <sz val="8"/>
      <color rgb="FFBFBFBF"/>
      <name val="Arial"/>
      <family val="0"/>
      <charset val="1"/>
    </font>
    <font>
      <sz val="14"/>
      <color rgb="FF595959"/>
      <name val="Calibri"/>
      <family val="2"/>
    </font>
    <font>
      <sz val="9"/>
      <color rgb="FF595959"/>
      <name val="Calibri"/>
      <family val="2"/>
    </font>
    <font>
      <sz val="9"/>
      <color rgb="FF404040"/>
      <name val="Calibri"/>
      <family val="2"/>
    </font>
  </fonts>
  <fills count="16">
    <fill>
      <patternFill patternType="none"/>
    </fill>
    <fill>
      <patternFill patternType="gray125"/>
    </fill>
    <fill>
      <patternFill patternType="solid">
        <fgColor rgb="FFFFFF00"/>
        <bgColor rgb="FFFFFF00"/>
      </patternFill>
    </fill>
    <fill>
      <patternFill patternType="solid">
        <fgColor rgb="FFD9E1F2"/>
        <bgColor rgb="FFD6DCE4"/>
      </patternFill>
    </fill>
    <fill>
      <patternFill patternType="solid">
        <fgColor rgb="FF00B050"/>
        <bgColor rgb="FF008080"/>
      </patternFill>
    </fill>
    <fill>
      <patternFill patternType="solid">
        <fgColor rgb="FFC6E0B4"/>
        <bgColor rgb="FFD9E2D2"/>
      </patternFill>
    </fill>
    <fill>
      <patternFill patternType="solid">
        <fgColor rgb="FF1F3864"/>
        <bgColor rgb="FF2C4D75"/>
      </patternFill>
    </fill>
    <fill>
      <patternFill patternType="solid">
        <fgColor rgb="FF375623"/>
        <bgColor rgb="FF404040"/>
      </patternFill>
    </fill>
    <fill>
      <patternFill patternType="solid">
        <fgColor rgb="FFF4F6FA"/>
        <bgColor rgb="FFFFFFFF"/>
      </patternFill>
    </fill>
    <fill>
      <patternFill patternType="solid">
        <fgColor rgb="FF2E75B6"/>
        <bgColor rgb="FF4F81BD"/>
      </patternFill>
    </fill>
    <fill>
      <patternFill patternType="solid">
        <fgColor rgb="FF548235"/>
        <bgColor rgb="FF595959"/>
      </patternFill>
    </fill>
    <fill>
      <patternFill patternType="solid">
        <fgColor rgb="FFC55A11"/>
        <bgColor rgb="FFC0504D"/>
      </patternFill>
    </fill>
    <fill>
      <patternFill patternType="solid">
        <fgColor rgb="FFFFFFFF"/>
        <bgColor rgb="FFF4F6FA"/>
      </patternFill>
    </fill>
    <fill>
      <patternFill patternType="solid">
        <fgColor rgb="FFD6DCE4"/>
        <bgColor rgb="FFD9D9D9"/>
      </patternFill>
    </fill>
    <fill>
      <patternFill patternType="solid">
        <fgColor rgb="FFD9E2D2"/>
        <bgColor rgb="FFD9D9D9"/>
      </patternFill>
    </fill>
    <fill>
      <patternFill patternType="solid">
        <fgColor rgb="FFF8CBAD"/>
        <bgColor rgb="FFD9D9D9"/>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bottom" textRotation="0" wrapText="false" indent="0" shrinkToFit="false"/>
      <protection locked="true" hidden="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5" fontId="5" fillId="4"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5" fontId="4" fillId="0" borderId="1" xfId="0" applyFont="true" applyBorder="true" applyAlignment="true" applyProtection="false">
      <alignment horizontal="center" vertical="center" textRotation="0" wrapText="true" indent="0" shrinkToFit="false"/>
      <protection locked="true" hidden="false"/>
    </xf>
    <xf numFmtId="165" fontId="4" fillId="0" borderId="1" xfId="0" applyFont="true" applyBorder="true" applyAlignment="true" applyProtection="false">
      <alignment horizontal="justify" vertical="center" textRotation="0" wrapText="true" indent="0" shrinkToFit="false"/>
      <protection locked="true" hidden="false"/>
    </xf>
    <xf numFmtId="165" fontId="7" fillId="0" borderId="1" xfId="20" applyFont="true" applyBorder="true" applyAlignment="true" applyProtection="false">
      <alignment horizontal="center" vertical="center" textRotation="0" wrapText="true" indent="0" shrinkToFit="false"/>
      <protection locked="true" hidden="false"/>
    </xf>
    <xf numFmtId="165" fontId="5" fillId="5" borderId="1"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3" fillId="6" borderId="0" xfId="0" applyFont="true" applyBorder="false" applyAlignment="true" applyProtection="false">
      <alignment horizontal="center" vertical="bottom" textRotation="0" wrapText="false" indent="0" shrinkToFit="false"/>
      <protection locked="true" hidden="false"/>
    </xf>
    <xf numFmtId="165" fontId="13" fillId="7" borderId="0" xfId="0" applyFont="true" applyBorder="false" applyAlignment="true" applyProtection="false">
      <alignment horizontal="center"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5" fontId="15" fillId="0" borderId="2" xfId="0" applyFont="true" applyBorder="tru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7" fillId="6" borderId="0" xfId="0" applyFont="true" applyBorder="true" applyAlignment="true" applyProtection="false">
      <alignment horizontal="center" vertical="bottom" textRotation="0" wrapText="false" indent="0" shrinkToFit="false"/>
      <protection locked="true" hidden="false"/>
    </xf>
    <xf numFmtId="164" fontId="17" fillId="9" borderId="0" xfId="0" applyFont="true" applyBorder="true" applyAlignment="true" applyProtection="false">
      <alignment horizontal="center" vertical="bottom" textRotation="0" wrapText="false" indent="0" shrinkToFit="false"/>
      <protection locked="true" hidden="false"/>
    </xf>
    <xf numFmtId="164" fontId="17" fillId="10" borderId="0" xfId="0" applyFont="true" applyBorder="true" applyAlignment="true" applyProtection="false">
      <alignment horizontal="center" vertical="bottom"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5" fontId="10" fillId="12" borderId="0" xfId="0" applyFont="true" applyBorder="true" applyAlignment="true" applyProtection="false">
      <alignment horizontal="center" vertical="center" textRotation="0" wrapText="false" indent="0" shrinkToFit="false"/>
      <protection locked="true" hidden="false"/>
    </xf>
    <xf numFmtId="166" fontId="18" fillId="12" borderId="0" xfId="0" applyFont="true" applyBorder="true" applyAlignment="true" applyProtection="false">
      <alignment horizontal="center" vertical="center" textRotation="0" wrapText="false" indent="0" shrinkToFit="false"/>
      <protection locked="true" hidden="false"/>
    </xf>
    <xf numFmtId="166" fontId="19" fillId="12" borderId="0" xfId="0" applyFont="true" applyBorder="true" applyAlignment="true" applyProtection="false">
      <alignment horizontal="center" vertical="center" textRotation="0" wrapText="false" indent="0" shrinkToFit="false"/>
      <protection locked="true" hidden="false"/>
    </xf>
    <xf numFmtId="166" fontId="20" fillId="12" borderId="0" xfId="0" applyFont="true" applyBorder="true" applyAlignment="true" applyProtection="false">
      <alignment horizontal="center" vertical="center" textRotation="0" wrapText="false" indent="0" shrinkToFit="false"/>
      <protection locked="true" hidden="false"/>
    </xf>
    <xf numFmtId="164" fontId="21" fillId="6" borderId="0" xfId="0" applyFont="true" applyBorder="true" applyAlignment="false" applyProtection="false">
      <alignment horizontal="general" vertical="bottom" textRotation="0" wrapText="false" indent="0" shrinkToFit="false"/>
      <protection locked="true" hidden="false"/>
    </xf>
    <xf numFmtId="164" fontId="21" fillId="7" borderId="0" xfId="0" applyFont="true" applyBorder="true" applyAlignment="false" applyProtection="false">
      <alignment horizontal="general" vertical="bottom" textRotation="0" wrapText="false" indent="0" shrinkToFit="false"/>
      <protection locked="true" hidden="false"/>
    </xf>
    <xf numFmtId="164" fontId="14" fillId="13" borderId="3" xfId="0" applyFont="true" applyBorder="true" applyAlignment="true" applyProtection="false">
      <alignment horizontal="center" vertical="bottom" textRotation="0" wrapText="false" indent="0" shrinkToFit="false"/>
      <protection locked="true" hidden="false"/>
    </xf>
    <xf numFmtId="164" fontId="14" fillId="14" borderId="3" xfId="0" applyFont="true" applyBorder="true" applyAlignment="true" applyProtection="false">
      <alignment horizontal="center" vertical="bottom" textRotation="0" wrapText="false" indent="0" shrinkToFit="false"/>
      <protection locked="true" hidden="false"/>
    </xf>
    <xf numFmtId="165" fontId="11" fillId="12" borderId="4" xfId="0" applyFont="true" applyBorder="true" applyAlignment="true" applyProtection="false">
      <alignment horizontal="general" vertical="center" textRotation="0" wrapText="true" indent="0" shrinkToFit="false"/>
      <protection locked="true" hidden="false"/>
    </xf>
    <xf numFmtId="167" fontId="11" fillId="12" borderId="4" xfId="0" applyFont="true" applyBorder="true" applyAlignment="true" applyProtection="false">
      <alignment horizontal="center" vertical="center" textRotation="0" wrapText="false" indent="0" shrinkToFit="false"/>
      <protection locked="true" hidden="false"/>
    </xf>
    <xf numFmtId="168" fontId="11" fillId="12" borderId="4" xfId="0" applyFont="true" applyBorder="true" applyAlignment="true" applyProtection="false">
      <alignment horizontal="center" vertical="center" textRotation="0" wrapText="false" indent="0" shrinkToFit="false"/>
      <protection locked="true" hidden="false"/>
    </xf>
    <xf numFmtId="164" fontId="11" fillId="12" borderId="3" xfId="0" applyFont="true" applyBorder="true" applyAlignment="true" applyProtection="false">
      <alignment horizontal="general" vertical="center" textRotation="0" wrapText="true" indent="0" shrinkToFit="false"/>
      <protection locked="true" hidden="false"/>
    </xf>
    <xf numFmtId="167" fontId="11" fillId="12" borderId="3" xfId="0" applyFont="true" applyBorder="true" applyAlignment="true" applyProtection="false">
      <alignment horizontal="center" vertical="center" textRotation="0" wrapText="false" indent="0" shrinkToFit="false"/>
      <protection locked="true" hidden="false"/>
    </xf>
    <xf numFmtId="168" fontId="11" fillId="12" borderId="3" xfId="0" applyFont="true" applyBorder="true" applyAlignment="true" applyProtection="false">
      <alignment horizontal="center" vertical="center" textRotation="0" wrapText="false" indent="0" shrinkToFit="false"/>
      <protection locked="true" hidden="false"/>
    </xf>
    <xf numFmtId="164" fontId="22" fillId="7" borderId="4" xfId="0" applyFont="true" applyBorder="true" applyAlignment="true" applyProtection="false">
      <alignment horizontal="center" vertical="bottom" textRotation="0" wrapText="false" indent="0" shrinkToFit="false"/>
      <protection locked="true" hidden="false"/>
    </xf>
    <xf numFmtId="167" fontId="22" fillId="7" borderId="4" xfId="0" applyFont="true" applyBorder="true" applyAlignment="true" applyProtection="false">
      <alignment horizontal="center" vertical="bottom" textRotation="0" wrapText="false" indent="0" shrinkToFit="false"/>
      <protection locked="true" hidden="false"/>
    </xf>
    <xf numFmtId="168" fontId="22" fillId="7" borderId="4" xfId="0" applyFont="true" applyBorder="true" applyAlignment="true" applyProtection="false">
      <alignment horizontal="center" vertical="bottom" textRotation="0" wrapText="false" indent="0" shrinkToFit="false"/>
      <protection locked="true" hidden="false"/>
    </xf>
    <xf numFmtId="164" fontId="21" fillId="11" borderId="0" xfId="0" applyFont="true" applyBorder="true" applyAlignment="false" applyProtection="false">
      <alignment horizontal="general" vertical="bottom" textRotation="0" wrapText="false" indent="0" shrinkToFit="false"/>
      <protection locked="true" hidden="false"/>
    </xf>
    <xf numFmtId="164" fontId="14" fillId="15" borderId="3" xfId="0" applyFont="true" applyBorder="true" applyAlignment="true" applyProtection="false">
      <alignment horizontal="center" vertical="bottom" textRotation="0" wrapText="false" indent="0" shrinkToFit="false"/>
      <protection locked="true" hidden="false"/>
    </xf>
    <xf numFmtId="164" fontId="11" fillId="12" borderId="4" xfId="0" applyFont="true" applyBorder="true" applyAlignment="false" applyProtection="false">
      <alignment horizontal="general" vertical="bottom" textRotation="0" wrapText="false" indent="0" shrinkToFit="false"/>
      <protection locked="true" hidden="false"/>
    </xf>
    <xf numFmtId="166" fontId="11" fillId="12" borderId="4" xfId="0" applyFont="true" applyBorder="true" applyAlignment="true" applyProtection="false">
      <alignment horizontal="center" vertical="bottom" textRotation="0" wrapText="false" indent="0" shrinkToFit="false"/>
      <protection locked="true" hidden="false"/>
    </xf>
    <xf numFmtId="168" fontId="11" fillId="12" borderId="4" xfId="0" applyFont="true" applyBorder="true" applyAlignment="true" applyProtection="false">
      <alignment horizontal="center" vertical="bottom" textRotation="0" wrapText="false" indent="0" shrinkToFit="false"/>
      <protection locked="true" hidden="false"/>
    </xf>
    <xf numFmtId="164" fontId="11" fillId="12" borderId="3" xfId="0" applyFont="true" applyBorder="true" applyAlignment="false" applyProtection="false">
      <alignment horizontal="general" vertical="bottom" textRotation="0" wrapText="false" indent="0" shrinkToFit="false"/>
      <protection locked="true" hidden="false"/>
    </xf>
    <xf numFmtId="166" fontId="11" fillId="12" borderId="3" xfId="0" applyFont="true" applyBorder="true" applyAlignment="true" applyProtection="false">
      <alignment horizontal="center" vertical="bottom" textRotation="0" wrapText="false" indent="0" shrinkToFit="false"/>
      <protection locked="true" hidden="false"/>
    </xf>
    <xf numFmtId="168" fontId="11" fillId="12" borderId="3" xfId="0" applyFont="true" applyBorder="true" applyAlignment="true" applyProtection="false">
      <alignment horizontal="center" vertical="bottom" textRotation="0" wrapText="false" indent="0" shrinkToFit="false"/>
      <protection locked="true" hidden="false"/>
    </xf>
    <xf numFmtId="164" fontId="22" fillId="6" borderId="4" xfId="0" applyFont="true" applyBorder="true" applyAlignment="true" applyProtection="false">
      <alignment horizontal="center" vertical="bottom" textRotation="0" wrapText="false" indent="0" shrinkToFit="false"/>
      <protection locked="true" hidden="false"/>
    </xf>
    <xf numFmtId="167" fontId="22" fillId="6" borderId="4" xfId="0" applyFont="true" applyBorder="true" applyAlignment="true" applyProtection="false">
      <alignment horizontal="center" vertical="bottom" textRotation="0" wrapText="false" indent="0" shrinkToFit="false"/>
      <protection locked="true" hidden="false"/>
    </xf>
    <xf numFmtId="168" fontId="22" fillId="6" borderId="4" xfId="0" applyFont="true" applyBorder="true" applyAlignment="true" applyProtection="false">
      <alignment horizontal="center" vertical="bottom" textRotation="0" wrapText="false" indent="0" shrinkToFit="false"/>
      <protection locked="true" hidden="false"/>
    </xf>
    <xf numFmtId="164" fontId="22" fillId="11" borderId="4" xfId="0" applyFont="true" applyBorder="true" applyAlignment="false" applyProtection="false">
      <alignment horizontal="general" vertical="bottom" textRotation="0" wrapText="false" indent="0" shrinkToFit="false"/>
      <protection locked="true" hidden="false"/>
    </xf>
    <xf numFmtId="166" fontId="22" fillId="11" borderId="4" xfId="0" applyFont="true" applyBorder="true" applyAlignment="true" applyProtection="false">
      <alignment horizontal="center" vertical="bottom" textRotation="0" wrapText="false" indent="0" shrinkToFit="false"/>
      <protection locked="true" hidden="false"/>
    </xf>
    <xf numFmtId="168" fontId="22" fillId="11" borderId="4" xfId="0" applyFont="true" applyBorder="true" applyAlignment="true" applyProtection="false">
      <alignment horizontal="center" vertical="bottom" textRotation="0" wrapText="false" indent="0" shrinkToFit="false"/>
      <protection locked="true" hidden="false"/>
    </xf>
    <xf numFmtId="164" fontId="23" fillId="8" borderId="0" xfId="0" applyFont="true" applyBorder="false" applyAlignment="false" applyProtection="false">
      <alignment horizontal="general" vertical="bottom" textRotation="0" wrapText="false" indent="0" shrinkToFit="false"/>
      <protection locked="true" hidden="false"/>
    </xf>
    <xf numFmtId="164" fontId="24" fillId="8" borderId="0" xfId="0" applyFont="true" applyBorder="false" applyAlignment="false" applyProtection="false">
      <alignment horizontal="general" vertical="bottom" textRotation="0" wrapText="false" indent="0" shrinkToFit="false"/>
      <protection locked="true" hidden="false"/>
    </xf>
    <xf numFmtId="167" fontId="24" fillId="8"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C0504D"/>
      <rgbColor rgb="FFF4F6FA"/>
      <rgbColor rgb="FFD9E1F2"/>
      <rgbColor rgb="FF660066"/>
      <rgbColor rgb="FFFF8080"/>
      <rgbColor rgb="FF0070C0"/>
      <rgbColor rgb="FFD6DCE4"/>
      <rgbColor rgb="FF000080"/>
      <rgbColor rgb="FFFF00FF"/>
      <rgbColor rgb="FFFFFF00"/>
      <rgbColor rgb="FF00FFFF"/>
      <rgbColor rgb="FF800080"/>
      <rgbColor rgb="FF800000"/>
      <rgbColor rgb="FF008080"/>
      <rgbColor rgb="FF0000FF"/>
      <rgbColor rgb="FF00CCFF"/>
      <rgbColor rgb="FFD9D9D9"/>
      <rgbColor rgb="FFD9E2D2"/>
      <rgbColor rgb="FFFFFF99"/>
      <rgbColor rgb="FFC6E0B4"/>
      <rgbColor rgb="FFFF99CC"/>
      <rgbColor rgb="FFCC99FF"/>
      <rgbColor rgb="FFF8CBAD"/>
      <rgbColor rgb="FF2E75B6"/>
      <rgbColor rgb="FF4BACC6"/>
      <rgbColor rgb="FF9BBB59"/>
      <rgbColor rgb="FFFFCC00"/>
      <rgbColor rgb="FFF79646"/>
      <rgbColor rgb="FFC55A11"/>
      <rgbColor rgb="FF8064A2"/>
      <rgbColor rgb="FF4F81BD"/>
      <rgbColor rgb="FF1F3864"/>
      <rgbColor rgb="FF00B050"/>
      <rgbColor rgb="FF003300"/>
      <rgbColor rgb="FF375623"/>
      <rgbColor rgb="FF772C2A"/>
      <rgbColor rgb="FF595959"/>
      <rgbColor rgb="FF2C4D7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az-Cyrl-AZ" sz="1400" spc="-1" strike="noStrike">
                <a:solidFill>
                  <a:srgbClr val="595959"/>
                </a:solidFill>
                <a:latin typeface="Calibri"/>
              </a:defRPr>
            </a:pPr>
            <a:r>
              <a:rPr b="0" lang="az-Cyrl-AZ" sz="1400" spc="-1" strike="noStrike">
                <a:solidFill>
                  <a:srgbClr val="595959"/>
                </a:solidFill>
                <a:latin typeface="Calibri"/>
              </a:rPr>
              <a:t>Эрхийн төрлөөр Дотоод vs Гадаад</a:t>
            </a:r>
          </a:p>
        </c:rich>
      </c:tx>
      <c:overlay val="0"/>
      <c:spPr>
        <a:noFill/>
        <a:ln w="0">
          <a:noFill/>
        </a:ln>
      </c:spPr>
    </c:title>
    <c:autoTitleDeleted val="0"/>
    <c:plotArea>
      <c:barChart>
        <c:barDir val="bar"/>
        <c:grouping val="stacked"/>
        <c:varyColors val="0"/>
        <c:ser>
          <c:idx val="0"/>
          <c:order val="0"/>
          <c:tx>
            <c:strRef>
              <c:f>Дашбоард!$C$32</c:f>
              <c:strCache>
                <c:ptCount val="1"/>
                <c:pt idx="0">
                  <c:v>Дотоод</c:v>
                </c:pt>
              </c:strCache>
            </c:strRef>
          </c:tx>
          <c:spPr>
            <a:solidFill>
              <a:srgbClr val="2e75b6"/>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Дашбоард!$B$33:$B$42</c:f>
              <c:strCache>
                <c:ptCount val="10"/>
                <c:pt idx="0">
                  <c:v>Амьд явах, халдашгүй байх эрх</c:v>
                </c:pt>
                <c:pt idx="1">
                  <c:v>Хүүхдийн эрх</c:v>
                </c:pt>
                <c:pt idx="2">
                  <c:v>Бусад / ангилагдаагүй</c:v>
                </c:pt>
                <c:pt idx="3">
                  <c:v>Үзэл бодлоо илэрхийлэх, мэдээллийн эрх</c:v>
                </c:pt>
                <c:pt idx="4">
                  <c:v>Эрүүдэн шүүлт, хүнлэг бус харьцаа</c:v>
                </c:pt>
                <c:pt idx="5">
                  <c:v>Эрүүл мэндийн эрх</c:v>
                </c:pt>
                <c:pt idx="6">
                  <c:v>Хүчирхийлэл, бэлгийн дарамтаас ангид байх</c:v>
                </c:pt>
                <c:pt idx="7">
                  <c:v>Эрүүл, аюулгүй орчинд амьдрах эрх</c:v>
                </c:pt>
                <c:pt idx="8">
                  <c:v>Ялгаварлан гадуурхалтаас ангид байх, тэгш эрх</c:v>
                </c:pt>
                <c:pt idx="9">
                  <c:v>Шударга шүүхээр шүүлгэх эрх</c:v>
                </c:pt>
              </c:strCache>
            </c:strRef>
          </c:cat>
          <c:val>
            <c:numRef>
              <c:f>Дашбоард!$C$33:$C$42</c:f>
              <c:numCache>
                <c:formatCode>#,##0;;\-</c:formatCode>
                <c:ptCount val="10"/>
                <c:pt idx="0">
                  <c:v>21</c:v>
                </c:pt>
                <c:pt idx="1">
                  <c:v>35</c:v>
                </c:pt>
                <c:pt idx="2">
                  <c:v>6</c:v>
                </c:pt>
                <c:pt idx="3">
                  <c:v>10</c:v>
                </c:pt>
                <c:pt idx="4">
                  <c:v>8</c:v>
                </c:pt>
                <c:pt idx="5">
                  <c:v>5</c:v>
                </c:pt>
                <c:pt idx="6">
                  <c:v>8</c:v>
                </c:pt>
                <c:pt idx="7">
                  <c:v>8</c:v>
                </c:pt>
                <c:pt idx="8">
                  <c:v>4</c:v>
                </c:pt>
                <c:pt idx="9">
                  <c:v>5</c:v>
                </c:pt>
              </c:numCache>
            </c:numRef>
          </c:val>
        </c:ser>
        <c:ser>
          <c:idx val="1"/>
          <c:order val="1"/>
          <c:tx>
            <c:strRef>
              <c:f>Дашбоард!$D$32</c:f>
              <c:strCache>
                <c:ptCount val="1"/>
                <c:pt idx="0">
                  <c:v>Гадаад</c:v>
                </c:pt>
              </c:strCache>
            </c:strRef>
          </c:tx>
          <c:spPr>
            <a:solidFill>
              <a:srgbClr val="c55a1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Дашбоард!$B$33:$B$42</c:f>
              <c:strCache>
                <c:ptCount val="10"/>
                <c:pt idx="0">
                  <c:v>Амьд явах, халдашгүй байх эрх</c:v>
                </c:pt>
                <c:pt idx="1">
                  <c:v>Хүүхдийн эрх</c:v>
                </c:pt>
                <c:pt idx="2">
                  <c:v>Бусад / ангилагдаагүй</c:v>
                </c:pt>
                <c:pt idx="3">
                  <c:v>Үзэл бодлоо илэрхийлэх, мэдээллийн эрх</c:v>
                </c:pt>
                <c:pt idx="4">
                  <c:v>Эрүүдэн шүүлт, хүнлэг бус харьцаа</c:v>
                </c:pt>
                <c:pt idx="5">
                  <c:v>Эрүүл мэндийн эрх</c:v>
                </c:pt>
                <c:pt idx="6">
                  <c:v>Хүчирхийлэл, бэлгийн дарамтаас ангид байх</c:v>
                </c:pt>
                <c:pt idx="7">
                  <c:v>Эрүүл, аюулгүй орчинд амьдрах эрх</c:v>
                </c:pt>
                <c:pt idx="8">
                  <c:v>Ялгаварлан гадуурхалтаас ангид байх, тэгш эрх</c:v>
                </c:pt>
                <c:pt idx="9">
                  <c:v>Шударга шүүхээр шүүлгэх эрх</c:v>
                </c:pt>
              </c:strCache>
            </c:strRef>
          </c:cat>
          <c:val>
            <c:numRef>
              <c:f>Дашбоард!$D$33:$D$42</c:f>
              <c:numCache>
                <c:formatCode>#,##0;;\-</c:formatCode>
                <c:ptCount val="10"/>
                <c:pt idx="0">
                  <c:v>48</c:v>
                </c:pt>
                <c:pt idx="1">
                  <c:v>16</c:v>
                </c:pt>
                <c:pt idx="2">
                  <c:v>22</c:v>
                </c:pt>
                <c:pt idx="3">
                  <c:v>11</c:v>
                </c:pt>
                <c:pt idx="4">
                  <c:v>11</c:v>
                </c:pt>
                <c:pt idx="5">
                  <c:v>8</c:v>
                </c:pt>
                <c:pt idx="6">
                  <c:v>4</c:v>
                </c:pt>
                <c:pt idx="7">
                  <c:v>2</c:v>
                </c:pt>
                <c:pt idx="8">
                  <c:v>6</c:v>
                </c:pt>
                <c:pt idx="9">
                  <c:v>5</c:v>
                </c:pt>
              </c:numCache>
            </c:numRef>
          </c:val>
        </c:ser>
        <c:gapWidth val="150"/>
        <c:overlap val="100"/>
        <c:axId val="6820026"/>
        <c:axId val="75689766"/>
      </c:barChart>
      <c:catAx>
        <c:axId val="6820026"/>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5689766"/>
        <c:crosses val="autoZero"/>
        <c:auto val="1"/>
        <c:lblAlgn val="ctr"/>
        <c:lblOffset val="100"/>
        <c:noMultiLvlLbl val="0"/>
      </c:catAx>
      <c:valAx>
        <c:axId val="7568976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82002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az-Cyrl-AZ" sz="1400" spc="-1" strike="noStrike">
                <a:solidFill>
                  <a:srgbClr val="595959"/>
                </a:solidFill>
                <a:latin typeface="Calibri"/>
              </a:defRPr>
            </a:pPr>
            <a:r>
              <a:rPr b="0" lang="az-Cyrl-AZ" sz="1400" spc="-1" strike="noStrike">
                <a:solidFill>
                  <a:srgbClr val="595959"/>
                </a:solidFill>
                <a:latin typeface="Calibri"/>
              </a:rPr>
              <a:t>Нийгмийн бүлгээр</a:t>
            </a:r>
          </a:p>
        </c:rich>
      </c:tx>
      <c:overlay val="0"/>
      <c:spPr>
        <a:noFill/>
        <a:ln w="0">
          <a:noFill/>
        </a:ln>
      </c:spPr>
    </c:title>
    <c:autoTitleDeleted val="0"/>
    <c:plotArea>
      <c:doughnutChart>
        <c:varyColors val="1"/>
        <c:ser>
          <c:idx val="0"/>
          <c:order val="0"/>
          <c:tx>
            <c:strRef>
              <c:f>Дашбоард!$G$32</c:f>
              <c:strCache>
                <c:ptCount val="1"/>
                <c:pt idx="0">
                  <c:v>Нийт</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Pt>
            <c:idx val="2"/>
            <c:spPr>
              <a:solidFill>
                <a:srgbClr val="9bbb59"/>
              </a:solidFill>
              <a:ln w="19080">
                <a:solidFill>
                  <a:srgbClr val="ffffff"/>
                </a:solidFill>
                <a:round/>
              </a:ln>
            </c:spPr>
          </c:dPt>
          <c:dPt>
            <c:idx val="3"/>
            <c:spPr>
              <a:solidFill>
                <a:srgbClr val="8064a2"/>
              </a:solidFill>
              <a:ln w="19080">
                <a:solidFill>
                  <a:srgbClr val="ffffff"/>
                </a:solidFill>
                <a:round/>
              </a:ln>
            </c:spPr>
          </c:dPt>
          <c:dPt>
            <c:idx val="4"/>
            <c:spPr>
              <a:solidFill>
                <a:srgbClr val="4bacc6"/>
              </a:solidFill>
              <a:ln w="19080">
                <a:solidFill>
                  <a:srgbClr val="ffffff"/>
                </a:solidFill>
                <a:round/>
              </a:ln>
            </c:spPr>
          </c:dPt>
          <c:dPt>
            <c:idx val="5"/>
            <c:spPr>
              <a:solidFill>
                <a:srgbClr val="f79646"/>
              </a:solidFill>
              <a:ln w="19080">
                <a:solidFill>
                  <a:srgbClr val="ffffff"/>
                </a:solidFill>
                <a:round/>
              </a:ln>
            </c:spPr>
          </c:dPt>
          <c:dPt>
            <c:idx val="6"/>
            <c:spPr>
              <a:solidFill>
                <a:srgbClr val="2c4d75"/>
              </a:solidFill>
              <a:ln w="19080">
                <a:solidFill>
                  <a:srgbClr val="ffffff"/>
                </a:solidFill>
                <a:round/>
              </a:ln>
            </c:spPr>
          </c:dPt>
          <c:dPt>
            <c:idx val="7"/>
            <c:spPr>
              <a:solidFill>
                <a:srgbClr val="772c2a"/>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Дашбоард!$F$33:$F$40</c:f>
              <c:strCache>
                <c:ptCount val="8"/>
                <c:pt idx="0">
                  <c:v>Хүүхэд</c:v>
                </c:pt>
                <c:pt idx="1">
                  <c:v>Эмэгтэйчүүд</c:v>
                </c:pt>
                <c:pt idx="2">
                  <c:v>Сэтгүүлч, хүний эрхийн хамгаалагч</c:v>
                </c:pt>
                <c:pt idx="3">
                  <c:v>Хоригдол, саатуулагдсан хүн</c:v>
                </c:pt>
                <c:pt idx="4">
                  <c:v>Дүрвэгсэд, цагаачид</c:v>
                </c:pt>
                <c:pt idx="5">
                  <c:v>Хөгжлийн бэрхшээлтэй иргэд</c:v>
                </c:pt>
                <c:pt idx="6">
                  <c:v>Цөөнх, үндэстэн ястан</c:v>
                </c:pt>
                <c:pt idx="7">
                  <c:v>Ахмад настан</c:v>
                </c:pt>
              </c:strCache>
            </c:strRef>
          </c:cat>
          <c:val>
            <c:numRef>
              <c:f>Дашбоард!$G$33:$G$40</c:f>
              <c:numCache>
                <c:formatCode>#,##0;;\-</c:formatCode>
                <c:ptCount val="8"/>
                <c:pt idx="0">
                  <c:v>59</c:v>
                </c:pt>
                <c:pt idx="1">
                  <c:v>19</c:v>
                </c:pt>
                <c:pt idx="2">
                  <c:v>14</c:v>
                </c:pt>
                <c:pt idx="3">
                  <c:v>11</c:v>
                </c:pt>
                <c:pt idx="4">
                  <c:v>10</c:v>
                </c:pt>
                <c:pt idx="5">
                  <c:v>7</c:v>
                </c:pt>
                <c:pt idx="6">
                  <c:v>5</c:v>
                </c:pt>
                <c:pt idx="7">
                  <c:v>4</c:v>
                </c:pt>
              </c:numCache>
            </c:numRef>
          </c:val>
        </c:ser>
        <c:firstSliceAng val="0"/>
        <c:holeSize val="50"/>
      </c:doughnutChart>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az-Cyrl-AZ" sz="1400" spc="-1" strike="noStrike">
                <a:solidFill>
                  <a:srgbClr val="595959"/>
                </a:solidFill>
                <a:latin typeface="Calibri"/>
              </a:defRPr>
            </a:pPr>
            <a:r>
              <a:rPr b="0" lang="az-Cyrl-AZ" sz="1400" spc="-1" strike="noStrike">
                <a:solidFill>
                  <a:srgbClr val="595959"/>
                </a:solidFill>
                <a:latin typeface="Calibri"/>
              </a:rPr>
              <a:t>Гадаад / Дотоод харьцаа</a:t>
            </a:r>
          </a:p>
        </c:rich>
      </c:tx>
      <c:overlay val="0"/>
      <c:spPr>
        <a:noFill/>
        <a:ln w="0">
          <a:noFill/>
        </a:ln>
      </c:spPr>
    </c:title>
    <c:autoTitleDeleted val="0"/>
    <c:plotArea>
      <c:pieChart>
        <c:varyColors val="1"/>
        <c:ser>
          <c:idx val="0"/>
          <c:order val="0"/>
          <c:tx>
            <c:strRef>
              <c:f>Дашбоард!$J$32</c:f>
              <c:strCache>
                <c:ptCount val="1"/>
                <c:pt idx="0">
                  <c:v>Тоо</c:v>
                </c:pt>
              </c:strCache>
            </c:strRef>
          </c:tx>
          <c:spPr>
            <a:solidFill>
              <a:srgbClr val="4f81bd"/>
            </a:solidFill>
            <a:ln w="0">
              <a:noFill/>
            </a:ln>
          </c:spPr>
          <c:explosion val="0"/>
          <c:dPt>
            <c:idx val="0"/>
            <c:spPr>
              <a:solidFill>
                <a:srgbClr val="4f81bd"/>
              </a:solidFill>
              <a:ln w="19080">
                <a:solidFill>
                  <a:srgbClr val="ffffff"/>
                </a:solidFill>
                <a:round/>
              </a:ln>
            </c:spPr>
          </c:dPt>
          <c:dPt>
            <c:idx val="1"/>
            <c:spPr>
              <a:solidFill>
                <a:srgbClr val="c0504d"/>
              </a:solidFill>
              <a:ln w="19080">
                <a:solidFill>
                  <a:srgbClr val="ffffff"/>
                </a:solidFill>
                <a:round/>
              </a:ln>
            </c:spPr>
          </c:dPt>
          <c:dLbls>
            <c:dLbl>
              <c:idx val="0"/>
              <c:txPr>
                <a:bodyPr wrap="square"/>
                <a:lstStyle/>
                <a:p>
                  <a:pPr>
                    <a:defRPr b="0" sz="900" spc="-1" strike="noStrike">
                      <a:solidFill>
                        <a:srgbClr val="404040"/>
                      </a:solidFill>
                      <a:latin typeface="Calibri"/>
                    </a:defRPr>
                  </a:pPr>
                </a:p>
              </c:txPr>
              <c:dLblPos val="bestFit"/>
              <c:showLegendKey val="0"/>
              <c:showVal val="0"/>
              <c:showCatName val="0"/>
              <c:showSerName val="0"/>
              <c:showPercent val="1"/>
              <c:separator>
</c:separator>
            </c:dLbl>
            <c:dLbl>
              <c:idx val="1"/>
              <c:txPr>
                <a:bodyPr wrap="square"/>
                <a:lstStyle/>
                <a:p>
                  <a:pPr>
                    <a:defRPr b="0" sz="900" spc="-1" strike="noStrike">
                      <a:solidFill>
                        <a:srgbClr val="404040"/>
                      </a:solidFill>
                      <a:latin typeface="Calibri"/>
                    </a:defRPr>
                  </a:pPr>
                </a:p>
              </c:txPr>
              <c:dLblPos val="bestFit"/>
              <c:showLegendKey val="0"/>
              <c:showVal val="0"/>
              <c:showCatName val="0"/>
              <c:showSerName val="0"/>
              <c:showPercent val="1"/>
              <c:separator>
</c:separator>
            </c:dLbl>
            <c:txPr>
              <a:bodyPr wrap="square"/>
              <a:lstStyle/>
              <a:p>
                <a:pPr>
                  <a:defRPr b="0" sz="900" spc="-1" strike="noStrike">
                    <a:solidFill>
                      <a:srgbClr val="404040"/>
                    </a:solidFill>
                    <a:latin typeface="Calibri"/>
                  </a:defRPr>
                </a:pPr>
              </a:p>
            </c:txPr>
            <c:dLblPos val="bestFit"/>
            <c:showLegendKey val="0"/>
            <c:showVal val="0"/>
            <c:showCatName val="0"/>
            <c:showSerName val="0"/>
            <c:showPercent val="1"/>
            <c:separator>
</c:separator>
            <c:showLeaderLines val="1"/>
          </c:dLbls>
          <c:cat>
            <c:strRef>
              <c:f>Дашбоард!$I$33:$I$34</c:f>
              <c:strCache>
                <c:ptCount val="2"/>
                <c:pt idx="0">
                  <c:v>Дотоод (Монгол)</c:v>
                </c:pt>
                <c:pt idx="1">
                  <c:v>Гадаад (Олон улс)</c:v>
                </c:pt>
              </c:strCache>
            </c:strRef>
          </c:cat>
          <c:val>
            <c:numRef>
              <c:f>Дашбоард!$J$33:$J$34</c:f>
              <c:numCache>
                <c:formatCode>General</c:formatCode>
                <c:ptCount val="2"/>
                <c:pt idx="0">
                  <c:v>127</c:v>
                </c:pt>
                <c:pt idx="1">
                  <c:v>149</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4</xdr:col>
      <xdr:colOff>1127520</xdr:colOff>
      <xdr:row>45</xdr:row>
      <xdr:rowOff>190080</xdr:rowOff>
    </xdr:to>
    <xdr:graphicFrame>
      <xdr:nvGraphicFramePr>
        <xdr:cNvPr id="0" name="Chart 1"/>
        <xdr:cNvGraphicFramePr/>
      </xdr:nvGraphicFramePr>
      <xdr:xfrm>
        <a:off x="281880" y="8858160"/>
        <a:ext cx="6121800" cy="3428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28</xdr:row>
      <xdr:rowOff>0</xdr:rowOff>
    </xdr:from>
    <xdr:to>
      <xdr:col>11</xdr:col>
      <xdr:colOff>1026360</xdr:colOff>
      <xdr:row>41</xdr:row>
      <xdr:rowOff>190440</xdr:rowOff>
    </xdr:to>
    <xdr:graphicFrame>
      <xdr:nvGraphicFramePr>
        <xdr:cNvPr id="1" name="Chart 2"/>
        <xdr:cNvGraphicFramePr/>
      </xdr:nvGraphicFramePr>
      <xdr:xfrm>
        <a:off x="7813800" y="8858160"/>
        <a:ext cx="7500600" cy="2666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42</xdr:row>
      <xdr:rowOff>0</xdr:rowOff>
    </xdr:from>
    <xdr:to>
      <xdr:col>11</xdr:col>
      <xdr:colOff>1026360</xdr:colOff>
      <xdr:row>55</xdr:row>
      <xdr:rowOff>190080</xdr:rowOff>
    </xdr:to>
    <xdr:graphicFrame>
      <xdr:nvGraphicFramePr>
        <xdr:cNvPr id="2" name="Chart 3"/>
        <xdr:cNvGraphicFramePr/>
      </xdr:nvGraphicFramePr>
      <xdr:xfrm>
        <a:off x="7813800" y="11525400"/>
        <a:ext cx="7500600" cy="26665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see.mn/n/89499" TargetMode="External"/><Relationship Id="rId3" Type="http://schemas.openxmlformats.org/officeDocument/2006/relationships/hyperlink" Target="https://www.facebook.com/mnbworld/videos/six-out-of-every-10-playgrounds-across-the-country-pose-a-serious-risk-to-childr/925123123688279/?utm_source=chatgpt.com" TargetMode="External"/><Relationship Id="rId4" Type="http://schemas.openxmlformats.org/officeDocument/2006/relationships/hyperlink" Target="https://www.facebook.com/mnbworld/videos/six-out-of-every-10-playgrounds-across-the-country-pose-a-serious-risk-to-childr/925123123688279/" TargetMode="External"/><Relationship Id="rId5" Type="http://schemas.openxmlformats.org/officeDocument/2006/relationships/hyperlink" Target="https://www.facebook.com/mnbworld/videos/news-mongolia-04032026-/2081325279112896/" TargetMode="External"/><Relationship Id="rId6" Type="http://schemas.openxmlformats.org/officeDocument/2006/relationships/hyperlink" Target="https://gogo.mn/r/d36x0g" TargetMode="External"/><Relationship Id="rId7" Type="http://schemas.openxmlformats.org/officeDocument/2006/relationships/hyperlink" Target="https://isee.mn/n/89972" TargetMode="External"/><Relationship Id="rId8" Type="http://schemas.openxmlformats.org/officeDocument/2006/relationships/hyperlink" Target="https://cmsg.mongolcontent.mn/r/ljem49" TargetMode="External"/><Relationship Id="rId9" Type="http://schemas.openxmlformats.org/officeDocument/2006/relationships/hyperlink" Target="https://isee.mn/n/89935" TargetMode="External"/><Relationship Id="rId10" Type="http://schemas.openxmlformats.org/officeDocument/2006/relationships/hyperlink" Target="https://ubn.mn/p/96450" TargetMode="External"/><Relationship Id="rId11" Type="http://schemas.openxmlformats.org/officeDocument/2006/relationships/hyperlink" Target="https://www.facebook.com/groups/574571992993421/permalink/2540288836421717/?mibextid=wwXIfr&amp;rdid=jJCliaxQsr6Ynik4" TargetMode="External"/><Relationship Id="rId12" Type="http://schemas.openxmlformats.org/officeDocument/2006/relationships/hyperlink" Target="https://www.instagram.com/reels/DXoE3toFKao/" TargetMode="External"/><Relationship Id="rId13" Type="http://schemas.openxmlformats.org/officeDocument/2006/relationships/hyperlink" Target="https://www.facebook.com/story.php?story_fbid=4443773159237570&amp;id=100008147898597&amp;mibextid=wwXIfr&amp;rdid=3spAwJ1uPs49eTQp" TargetMode="External"/><Relationship Id="rId14" Type="http://schemas.openxmlformats.org/officeDocument/2006/relationships/hyperlink" Target="https://www.facebook.com/photo?fbid=122168961038663314&amp;set=a.122108145662663314" TargetMode="External"/><Relationship Id="rId15" Type="http://schemas.openxmlformats.org/officeDocument/2006/relationships/hyperlink" Target="https://x.com/zulegchin_zul/status/2049675579117670498/photo/1" TargetMode="External"/><Relationship Id="rId16" Type="http://schemas.openxmlformats.org/officeDocument/2006/relationships/hyperlink" Target="https://www.facebook.com/photo?fbid=1534570931563990&amp;set=pcb.1534571024897314" TargetMode="External"/><Relationship Id="rId17" Type="http://schemas.openxmlformats.org/officeDocument/2006/relationships/hyperlink" Target="https://www.facebook.com/story.php?story_fbid=966537989670660&amp;id=100089434025594&amp;mibextid=wwXIfr&amp;rdid=uOiUtvncs4i01o6e" TargetMode="External"/><Relationship Id="rId18" Type="http://schemas.openxmlformats.org/officeDocument/2006/relationships/hyperlink" Target="https://x.com/News_mn/status/2050820114447212810" TargetMode="External"/><Relationship Id="rId19" Type="http://schemas.openxmlformats.org/officeDocument/2006/relationships/hyperlink" Target="https://x.com/Eguur_mn/status/2051542289936433336" TargetMode="External"/><Relationship Id="rId20" Type="http://schemas.openxmlformats.org/officeDocument/2006/relationships/hyperlink" Target="https://www.mnb.mn/i/345409" TargetMode="External"/><Relationship Id="rId21" Type="http://schemas.openxmlformats.org/officeDocument/2006/relationships/hyperlink" Target="https://x.com/erdeneundaroyu/status/2053941920666362041" TargetMode="External"/><Relationship Id="rId22" Type="http://schemas.openxmlformats.org/officeDocument/2006/relationships/hyperlink" Target="https://shorturl.at/sgJwW" TargetMode="External"/><Relationship Id="rId23" Type="http://schemas.openxmlformats.org/officeDocument/2006/relationships/hyperlink" Target="https://www.facebook.com/share/v/15niYiD3REY/?mibextid=wwXIfr" TargetMode="External"/><Relationship Id="rId24" Type="http://schemas.openxmlformats.org/officeDocument/2006/relationships/hyperlink" Target="https://x.com/ariukaaboby/status/2054789815020007486" TargetMode="External"/><Relationship Id="rId25" Type="http://schemas.openxmlformats.org/officeDocument/2006/relationships/hyperlink" Target="https://x.com/XGerlee/status/2054819313547346201" TargetMode="External"/><Relationship Id="rId26" Type="http://schemas.openxmlformats.org/officeDocument/2006/relationships/hyperlink" Target="https://www.facebook.com/100001721631371/posts/27112941285013226/?rdid=10Bqt5i9Iswj0y8s" TargetMode="External"/><Relationship Id="rId27" Type="http://schemas.openxmlformats.org/officeDocument/2006/relationships/hyperlink" Target="https://www.facebook.com/100063933908097/posts/1480690020738781/?rdid=wiL07pClem4g2rpw" TargetMode="External"/><Relationship Id="rId28" Type="http://schemas.openxmlformats.org/officeDocument/2006/relationships/hyperlink" Target="https://tsahiur.mn/n/s/27019" TargetMode="External"/><Relationship Id="rId29" Type="http://schemas.openxmlformats.org/officeDocument/2006/relationships/hyperlink" Target="https://news.mn/r/2867418/" TargetMode="External"/><Relationship Id="rId30" Type="http://schemas.openxmlformats.org/officeDocument/2006/relationships/hyperlink" Target="https://news.mn/r/2867369/" TargetMode="External"/><Relationship Id="rId31" Type="http://schemas.openxmlformats.org/officeDocument/2006/relationships/hyperlink" Target="https://www.facebook.com/story.php?story_fbid=1305486858425685&amp;id=100068931495575&amp;rdid=GVLdPVqWwb5hxmeS" TargetMode="External"/><Relationship Id="rId32" Type="http://schemas.openxmlformats.org/officeDocument/2006/relationships/hyperlink" Target="https://www.facebook.com/Tsahiur.mn/videos/&#1072;&#1089;&#1091;&#1091;&#1076;&#1083;&#1099;&#1085;-&#1084;&#1257;&#1088;&#1257;&#1257;&#1088;-&#1073;&#1085;&#1089;&#1091;-&#1076;-&#1072;&#1078;&#1080;&#1083;&#1083;&#1072;&#1093;&#1072;&#1072;&#1088;-&#1103;&#1074;&#1089;&#1072;&#1085;-&#1084;&#1086;&#1085;&#1075;&#1086;&#1083;-&#1101;&#1084;&#1101;&#1075;&#1090;&#1101;&#1081;-&#1072;&#1078;&#1083;&#1099;&#1085;-&#1073;&#1072;&#1081;&#1088;&#1085;&#1099;-&#1076;&#1072;&#1088;&#1072;&#1084;&#1090;&#1072;&#1085;&#1076;-&#1257;&#1088;/1535035791631959/?mibextid=wwXIfr&amp;rdid=r47l6Zb4Hmu8qgJJ" TargetMode="External"/><Relationship Id="rId33" Type="http://schemas.openxmlformats.org/officeDocument/2006/relationships/hyperlink" Target="https://www.facebook.com/100063933908097/posts/1485016500306133/?mibextid=wwXIfr&amp;rdid=ZOSUnUcvvLd0t953" TargetMode="External"/><Relationship Id="rId34" Type="http://schemas.openxmlformats.org/officeDocument/2006/relationships/hyperlink" Target="https://tsahiur.mn/n/s/27043?fbclid=IwdGRjcAR7VfJleHRuA2FlbQIxMQBzcnRjBmFwcF9pZAo2NjI4NTY4Mzc5AAEe8xCjz4Kz2JBAfrN0zqy8iewvRQTictPZTj4VKvaP-sjeV06lijcuf3ic4PQ_aem_lNZLVDJpjS7KDclMwFuA1A" TargetMode="External"/><Relationship Id="rId35" Type="http://schemas.openxmlformats.org/officeDocument/2006/relationships/hyperlink" Target="https://www.facebook.com/story.php?story_fbid=1485197123621404&amp;id=100063933908097&amp;post_id=100063933908097_1485197123621404&amp;rdid=ezRetvfLchdAzBgv" TargetMode="External"/><Relationship Id="rId36" Type="http://schemas.openxmlformats.org/officeDocument/2006/relationships/hyperlink" Target="https://shorturl.at/RyTTF" TargetMode="External"/><Relationship Id="rId37" Type="http://schemas.openxmlformats.org/officeDocument/2006/relationships/hyperlink" Target="https://eguur.mn/676309/" TargetMode="External"/><Relationship Id="rId38" Type="http://schemas.openxmlformats.org/officeDocument/2006/relationships/hyperlink" Target="https://ikon.mn/n/3nun" TargetMode="External"/><Relationship Id="rId39" Type="http://schemas.openxmlformats.org/officeDocument/2006/relationships/hyperlink" Target="https://isee.mn/n/91447" TargetMode="External"/><Relationship Id="rId40" Type="http://schemas.openxmlformats.org/officeDocument/2006/relationships/hyperlink" Target="https://prosecutor.mn/post/113353" TargetMode="External"/><Relationship Id="rId41" Type="http://schemas.openxmlformats.org/officeDocument/2006/relationships/hyperlink" Target="https://ikon.mn/n/3o0x" TargetMode="External"/><Relationship Id="rId42" Type="http://schemas.openxmlformats.org/officeDocument/2006/relationships/hyperlink" Target="https://www.facebook.com/story.php?story_fbid=1504861694988280&amp;id=100063933908097&amp;mibextid=wwXIfr&amp;rdid=9Kz2ryKqlRG6I9xI" TargetMode="External"/><Relationship Id="rId43" Type="http://schemas.openxmlformats.org/officeDocument/2006/relationships/hyperlink" Target="https://gogo.mn/r/e04j6d" TargetMode="External"/><Relationship Id="rId44" Type="http://schemas.openxmlformats.org/officeDocument/2006/relationships/hyperlink" Target="https://isee.mn/n/91946" TargetMode="External"/><Relationship Id="rId45" Type="http://schemas.openxmlformats.org/officeDocument/2006/relationships/hyperlink" Target="https://zarig.mn/1ijn" TargetMode="External"/><Relationship Id="rId46" Type="http://schemas.openxmlformats.org/officeDocument/2006/relationships/hyperlink" Target="https://x.com/batkhuu_lw/status/2066440433182646473?s=46" TargetMode="External"/><Relationship Id="rId47" Type="http://schemas.openxmlformats.org/officeDocument/2006/relationships/hyperlink" Target="https://x.com/batzorig2012/status/2066430318337515965" TargetMode="External"/><Relationship Id="rId48" Type="http://schemas.openxmlformats.org/officeDocument/2006/relationships/hyperlink" Target="https://www.facebook.com/share/p/1BcANJWDA7/" TargetMode="External"/><Relationship Id="rId49" Type="http://schemas.openxmlformats.org/officeDocument/2006/relationships/hyperlink" Target="https://www.facebook.com/hashtag/&#1072;&#1078;&#1083;&#1099;&#1085;_&#1072;&#1095;&#1072;&#1072;&#1083;&#1083;&#1072;&#1072;&#1089;&#1072;&#1072;_&#1073;&#1091;&#1089;?__cft__%5B0%5D=AZYpCNdOkmFhL9t-LJb10Q2Al36h6AobJxVwl1VWaRqu4tX_InWOj2YCF3JkYYAxs0BTl-5WMV6wAvXz27ScnlvafjnUElkjoygJPW1EhAVtb8oBdu5lYNhzzgpRgRexuz8pa-zh805HD1j-kxHPk1dvfZj3S8teyh15EZ-OBXOlVRQeQHeEYcL8r" TargetMode="External"/><Relationship Id="rId50" Type="http://schemas.openxmlformats.org/officeDocument/2006/relationships/hyperlink" Target="https://www.facebook.com/share/p/1Es4qy6nzM/" TargetMode="External"/><Relationship Id="rId51" Type="http://schemas.openxmlformats.org/officeDocument/2006/relationships/hyperlink" Target="https://shorturl.at/ha7bg" TargetMode="External"/><Relationship Id="rId52" Type="http://schemas.openxmlformats.org/officeDocument/2006/relationships/hyperlink" Target="https://police.gov.mn/a/8140" TargetMode="External"/><Relationship Id="rId53" Type="http://schemas.openxmlformats.org/officeDocument/2006/relationships/hyperlink" Target="https://www.mnb.mn/i/348483" TargetMode="External"/><Relationship Id="rId54" Type="http://schemas.openxmlformats.org/officeDocument/2006/relationships/hyperlink" Target="https://www.mnb.mn/i/348493" TargetMode="External"/><Relationship Id="rId55" Type="http://schemas.openxmlformats.org/officeDocument/2006/relationships/hyperlink" Target="https://www.inews.mn/a/46748" TargetMode="External"/><Relationship Id="rId56" Type="http://schemas.openxmlformats.org/officeDocument/2006/relationships/hyperlink" Target="https://www.mnb.mn/i/348632" TargetMode="External"/><Relationship Id="rId57" Type="http://schemas.openxmlformats.org/officeDocument/2006/relationships/hyperlink" Target="https://www.mnb.mn/i/348568" TargetMode="External"/><Relationship Id="rId58" Type="http://schemas.openxmlformats.org/officeDocument/2006/relationships/hyperlink" Target="https://www.mnb.mn/i/348642" TargetMode="External"/><Relationship Id="rId59" Type="http://schemas.openxmlformats.org/officeDocument/2006/relationships/hyperlink" Target="https://www.mnb.mn/i/348608" TargetMode="External"/><Relationship Id="rId60" Type="http://schemas.openxmlformats.org/officeDocument/2006/relationships/hyperlink" Target="https://www.mnb.mn/i/348615" TargetMode="External"/><Relationship Id="rId61" Type="http://schemas.openxmlformats.org/officeDocument/2006/relationships/hyperlink" Target="https://www.mnb.mn/i/348648" TargetMode="External"/><Relationship Id="rId62" Type="http://schemas.openxmlformats.org/officeDocument/2006/relationships/hyperlink" Target="https://x.com/mn_zarig/status/2073979269739639111?s=12" TargetMode="External"/><Relationship Id="rId63" Type="http://schemas.openxmlformats.org/officeDocument/2006/relationships/hyperlink" Target="https://ikon.mn/n/3ouo" TargetMode="External"/><Relationship Id="rId64" Type="http://schemas.openxmlformats.org/officeDocument/2006/relationships/hyperlink" Target="https://ikon.mn/n/3p09" TargetMode="External"/><Relationship Id="rId65" Type="http://schemas.openxmlformats.org/officeDocument/2006/relationships/hyperlink" Target="https://www.arslan.mn/social/news/669929.shtml" TargetMode="External"/><Relationship Id="rId66" Type="http://schemas.openxmlformats.org/officeDocument/2006/relationships/hyperlink" Target="https://www.facebook.com/reel/1561941138820371" TargetMode="External"/><Relationship Id="rId67" Type="http://schemas.openxmlformats.org/officeDocument/2006/relationships/hyperlink" Target="https://www.mnb.mn/i/349859" TargetMode="External"/><Relationship Id="rId68" Type="http://schemas.openxmlformats.org/officeDocument/2006/relationships/hyperlink" Target="https://www.mnb.mn/i/349916" TargetMode="External"/><Relationship Id="rId69" Type="http://schemas.openxmlformats.org/officeDocument/2006/relationships/hyperlink" Target="https://ikon.mn/n/3pa1" TargetMode="External"/><Relationship Id="rId70" Type="http://schemas.openxmlformats.org/officeDocument/2006/relationships/hyperlink" Target="https://ikon.mn/n/3pa2" TargetMode="External"/><Relationship Id="rId71" Type="http://schemas.openxmlformats.org/officeDocument/2006/relationships/hyperlink" Target="https://ikon.mn/n/3p9c" TargetMode="External"/><Relationship Id="rId72" Type="http://schemas.openxmlformats.org/officeDocument/2006/relationships/hyperlink" Target="https://www.mnb.mn/i/349892" TargetMode="External"/><Relationship Id="rId73" Type="http://schemas.openxmlformats.org/officeDocument/2006/relationships/hyperlink" Target="https://www.mnb.mn/i/349909" TargetMode="External"/><Relationship Id="rId74" Type="http://schemas.openxmlformats.org/officeDocument/2006/relationships/hyperlink" Target="https://www.facebook.com/story.php?story_fbid=27764954223114874&amp;id=100000810076475&amp;mibextid=wwXIfr&amp;rdid=BLxOpALXWyIjArCn" TargetMode="External"/><Relationship Id="rId75" Type="http://schemas.openxmlformats.org/officeDocument/2006/relationships/hyperlink" Target="https://www.facebook.com/story.php?story_fbid=1556084686532647&amp;id=100063933908097&amp;mibextid=wwXIfr&amp;rdid=3Fui2KnS1GeyFIE4" TargetMode="External"/><Relationship Id="rId76" Type="http://schemas.openxmlformats.org/officeDocument/2006/relationships/hyperlink" Target="https://www.facebook.com/UBTCC/posts/&#1085;&#1072;&#1081;&#1084;&#1076;&#1091;&#1075;&#1072;&#1072;&#1088;-&#1089;&#1072;&#1088;&#1099;&#1085;-15-&#1085;&#1072;&#1072;&#1089;-&#1073;&#1091;&#1102;&#1091;-&#1101;&#1085;&#1101;-&#1076;&#1086;&#1083;&#1086;&#1086;-&#1093;&#1086;&#1085;&#1086;&#1075;&#1080;&#1081;&#1085;-&#1073;&#1103;&#1084;&#1073;&#1072;-&#1075;&#1072;&#1088;&#1072;&#1075;&#1072;&#1072;&#1089;-&#1091;&#1083;&#1089;&#1099;&#1085;-&#1076;&#1091;&#1075;&#1072;&#1072;&#1088;&#1099;&#1085;-&#1090;/1339849014976453/" TargetMode="External"/><Relationship Id="rId77" Type="http://schemas.openxmlformats.org/officeDocument/2006/relationships/hyperlink" Target="https://x.com/abazarragchaa/status/2088588472709968059" TargetMode="External"/><Relationship Id="rId78" Type="http://schemas.openxmlformats.org/officeDocument/2006/relationships/hyperlink" Target="https://presscouncil.mn/" TargetMode="External"/><Relationship Id="rId79" Type="http://schemas.openxmlformats.org/officeDocument/2006/relationships/hyperlink" Target="https://mn-nhrc.gov.mn/" TargetMode="External"/><Relationship Id="rId80" Type="http://schemas.openxmlformats.org/officeDocument/2006/relationships/hyperlink" Target="https://moh.gov.mn/" TargetMode="External"/><Relationship Id="rId81" Type="http://schemas.openxmlformats.org/officeDocument/2006/relationships/hyperlink" Target="https://isee.mn/n/94530" TargetMode="External"/><Relationship Id="rId82" Type="http://schemas.openxmlformats.org/officeDocument/2006/relationships/hyperlink" Target="https://nhrcm.gov.mn/" TargetMode="External"/><Relationship Id="rId83" Type="http://schemas.openxmlformats.org/officeDocument/2006/relationships/hyperlink" Target="https://ikon.mn/n/3q6c" TargetMode="External"/><Relationship Id="rId84" Type="http://schemas.openxmlformats.org/officeDocument/2006/relationships/hyperlink" Target="https://ikon.mn/n/3q84" TargetMode="External"/><Relationship Id="rId85" Type="http://schemas.openxmlformats.org/officeDocument/2006/relationships/hyperlink" Target="https://ikon.mn/n/3qfb" TargetMode="External"/><Relationship Id="rId86" Type="http://schemas.openxmlformats.org/officeDocument/2006/relationships/hyperlink" Target="https://ikon.mn/n/3qli" TargetMode="External"/><Relationship Id="rId87" Type="http://schemas.openxmlformats.org/officeDocument/2006/relationships/hyperlink" Target="https://ikon.mn/n/3qku" TargetMode="External"/><Relationship Id="rId88" Type="http://schemas.openxmlformats.org/officeDocument/2006/relationships/hyperlink" Target="https://www.unuudur.mn/a/284020" TargetMode="External"/><Relationship Id="rId89" Type="http://schemas.openxmlformats.org/officeDocument/2006/relationships/hyperlink" Target="https://ubn.mn/p/101187" TargetMode="External"/><Relationship Id="rId90" Type="http://schemas.openxmlformats.org/officeDocument/2006/relationships/hyperlink" Target="https://ikon.mn/n/3qlr" TargetMode="External"/><Relationship Id="rId91" Type="http://schemas.openxmlformats.org/officeDocument/2006/relationships/hyperlink" Target="https://ubn.mn/p/101177" TargetMode="External"/><Relationship Id="rId92" Type="http://schemas.openxmlformats.org/officeDocument/2006/relationships/hyperlink" Target="https://ubn.mn/p/101264" TargetMode="External"/><Relationship Id="rId93" Type="http://schemas.openxmlformats.org/officeDocument/2006/relationships/hyperlink" Target="https://news.zindaa.mn/5czv" TargetMode="External"/><Relationship Id="rId94" Type="http://schemas.openxmlformats.org/officeDocument/2006/relationships/hyperlink" Target="https://ikon.mn/n/3ql5" TargetMode="External"/><Relationship Id="rId95" Type="http://schemas.openxmlformats.org/officeDocument/2006/relationships/hyperlink" Target="https://www.unuudur.mn/a/284038" TargetMode="External"/><Relationship Id="rId96" Type="http://schemas.openxmlformats.org/officeDocument/2006/relationships/hyperlink" Target="https://ubn.mn/p/101129" TargetMode="External"/><Relationship Id="rId97" Type="http://schemas.openxmlformats.org/officeDocument/2006/relationships/hyperlink" Target="https://news.mn/r/2889385/" TargetMode="External"/><Relationship Id="rId98" Type="http://schemas.openxmlformats.org/officeDocument/2006/relationships/hyperlink" Target="https://www.unuudur.mn/a/284088" TargetMode="External"/><Relationship Id="rId99" Type="http://schemas.openxmlformats.org/officeDocument/2006/relationships/hyperlink" Target="https://eguur.mn/696101/" TargetMode="External"/><Relationship Id="rId100" Type="http://schemas.openxmlformats.org/officeDocument/2006/relationships/hyperlink" Target="https://www.unuudur.mn/a/284116" TargetMode="External"/><Relationship Id="rId101" Type="http://schemas.openxmlformats.org/officeDocument/2006/relationships/hyperlink" Target="https://isee.mn/n/95628" TargetMode="External"/><Relationship Id="rId102" Type="http://schemas.openxmlformats.org/officeDocument/2006/relationships/hyperlink" Target="https://www.unuudur.mn/a/284139" TargetMode="External"/><Relationship Id="rId103" Type="http://schemas.openxmlformats.org/officeDocument/2006/relationships/hyperlink" Target="https://www.unuudur.mn/a/284156" TargetMode="External"/><Relationship Id="rId104" Type="http://schemas.openxmlformats.org/officeDocument/2006/relationships/hyperlink" Target="https://www.unuudur.mn/a/284154" TargetMode="External"/><Relationship Id="rId105" Type="http://schemas.openxmlformats.org/officeDocument/2006/relationships/hyperlink" Target="https://isee.mn/n/95676" TargetMode="External"/><Relationship Id="rId106" Type="http://schemas.openxmlformats.org/officeDocument/2006/relationships/hyperlink" Target="https://eguur.mn/696821/" TargetMode="External"/><Relationship Id="rId107" Type="http://schemas.openxmlformats.org/officeDocument/2006/relationships/hyperlink" Target="https://www.unuudur.mn/a/284177" TargetMode="External"/><Relationship Id="rId108" Type="http://schemas.openxmlformats.org/officeDocument/2006/relationships/hyperlink" Target="https://eguur.mn/697024/" TargetMode="External"/><Relationship Id="rId109" Type="http://schemas.openxmlformats.org/officeDocument/2006/relationships/hyperlink" Target="https://www.unuudur.mn/a/284202" TargetMode="External"/><Relationship Id="rId110" Type="http://schemas.openxmlformats.org/officeDocument/2006/relationships/hyperlink" Target="https://www.unuudur.mn/a/284221" TargetMode="External"/><Relationship Id="rId111" Type="http://schemas.openxmlformats.org/officeDocument/2006/relationships/hyperlink" Target="https://medee.mn/p/200499" TargetMode="External"/><Relationship Id="rId112" Type="http://schemas.openxmlformats.org/officeDocument/2006/relationships/hyperlink" Target="https://isee.mn/n/95902" TargetMode="External"/><Relationship Id="rId113" Type="http://schemas.openxmlformats.org/officeDocument/2006/relationships/hyperlink" Target="https://www.unuudur.mn/a/284241" TargetMode="External"/><Relationship Id="rId114" Type="http://schemas.openxmlformats.org/officeDocument/2006/relationships/hyperlink" Target="https://isee.mn/n/95951" TargetMode="External"/><Relationship Id="rId115" Type="http://schemas.openxmlformats.org/officeDocument/2006/relationships/hyperlink" Target="https://ikon.mn/n/3qwm" TargetMode="External"/><Relationship Id="rId116" Type="http://schemas.openxmlformats.org/officeDocument/2006/relationships/hyperlink" Target="https://news.zindaa.mn/5dai" TargetMode="External"/><Relationship Id="rId117" Type="http://schemas.openxmlformats.org/officeDocument/2006/relationships/hyperlink" Target="https://zarig.mn/1jes" TargetMode="External"/><Relationship Id="rId118" Type="http://schemas.openxmlformats.org/officeDocument/2006/relationships/hyperlink" Target="https://www.facebook.com/share/v/1CtTZSEJ39/?mibextid=wwXIfr" TargetMode="External"/><Relationship Id="rId119"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news.un.org/en/story/2026/04/1167289?utm_source=UN+News+-+Newsletter&amp;utm_campaign=669765133c-EMAIL_CAMPAIGN_2026_04_14_12_00&amp;utm_medium=email&amp;utm_term=0_fdbf1af606-669765133c-437613962" TargetMode="External"/><Relationship Id="rId3" Type="http://schemas.openxmlformats.org/officeDocument/2006/relationships/hyperlink" Target="https://news.un.org/en/story/2026/04/1167287?utm_source=UN+News+-+Newsletter&amp;utm_campaign=669765133c-EMAIL_CAMPAIGN_2026_04_14_12_00&amp;utm_medium=email&amp;utm_term=0_fdbf1af606-669765133c-437613962" TargetMode="External"/><Relationship Id="rId4" Type="http://schemas.openxmlformats.org/officeDocument/2006/relationships/hyperlink" Target="https://news.un.org/en/story/2026/04/1167302" TargetMode="External"/><Relationship Id="rId5" Type="http://schemas.openxmlformats.org/officeDocument/2006/relationships/hyperlink" Target="https://news.un.org/en/story/2026/04/1167314" TargetMode="External"/><Relationship Id="rId6" Type="http://schemas.openxmlformats.org/officeDocument/2006/relationships/hyperlink" Target="https://www.hrw.org/news/2026/04/13/sex-testing-all-women-athletes-is-a-discriminatory-rights-violation" TargetMode="External"/><Relationship Id="rId7" Type="http://schemas.openxmlformats.org/officeDocument/2006/relationships/hyperlink" Target="https://www.civicus.org/index.php/media-resources/news/8253-andrea-bolanos-vargas-appointed-un-special-rapporteur-on-the-situation-of-human-rights-defenders-by-the-un-human-rights-council" TargetMode="External"/><Relationship Id="rId8" Type="http://schemas.openxmlformats.org/officeDocument/2006/relationships/hyperlink" Target="https://ikon.mn/n/3mtg" TargetMode="External"/><Relationship Id="rId9" Type="http://schemas.openxmlformats.org/officeDocument/2006/relationships/hyperlink" Target="https://ikon.mn/n/3mul" TargetMode="External"/><Relationship Id="rId10" Type="http://schemas.openxmlformats.org/officeDocument/2006/relationships/hyperlink" Target="https://ikon.mn/n/3mw0" TargetMode="External"/><Relationship Id="rId11" Type="http://schemas.openxmlformats.org/officeDocument/2006/relationships/hyperlink" Target="https://ikon.mn/n/3mwe" TargetMode="External"/><Relationship Id="rId12" Type="http://schemas.openxmlformats.org/officeDocument/2006/relationships/hyperlink" Target="https://www.montsame.mn/mn/read/396734" TargetMode="External"/><Relationship Id="rId13" Type="http://schemas.openxmlformats.org/officeDocument/2006/relationships/hyperlink" Target="https://news.un.org/en/story/2026/04/1167352" TargetMode="External"/><Relationship Id="rId14" Type="http://schemas.openxmlformats.org/officeDocument/2006/relationships/hyperlink" Target="https://news.un.org/en/story/2026/04/1167373" TargetMode="External"/><Relationship Id="rId15" Type="http://schemas.openxmlformats.org/officeDocument/2006/relationships/hyperlink" Target="https://news.un.org/en/story/2026/04/1167374" TargetMode="External"/><Relationship Id="rId16" Type="http://schemas.openxmlformats.org/officeDocument/2006/relationships/hyperlink" Target="https://news.un.org/en/story/2026/04/1167387" TargetMode="External"/><Relationship Id="rId17" Type="http://schemas.openxmlformats.org/officeDocument/2006/relationships/hyperlink" Target="https://montsame.mn/mn/read/397382" TargetMode="External"/><Relationship Id="rId18" Type="http://schemas.openxmlformats.org/officeDocument/2006/relationships/hyperlink" Target="https://ikon.mn/n/3n3n" TargetMode="External"/><Relationship Id="rId19" Type="http://schemas.openxmlformats.org/officeDocument/2006/relationships/hyperlink" Target="https://www.hrw.org/news/2026/04/28/a-deadline-for-the-world-to-act-on-womens-rights" TargetMode="External"/><Relationship Id="rId20" Type="http://schemas.openxmlformats.org/officeDocument/2006/relationships/hyperlink" Target="https://ikon.mn/n/3n4o" TargetMode="External"/><Relationship Id="rId21" Type="http://schemas.openxmlformats.org/officeDocument/2006/relationships/hyperlink" Target="https://www.hrw.org/news/2026/04/29/nepal-transgender-rights-progress-stalls" TargetMode="External"/><Relationship Id="rId22" Type="http://schemas.openxmlformats.org/officeDocument/2006/relationships/hyperlink" Target="https://news.un.org/en/story/2026/04/1167411" TargetMode="External"/><Relationship Id="rId23" Type="http://schemas.openxmlformats.org/officeDocument/2006/relationships/hyperlink" Target="https://news.un.org/en/story/2026/04/1167418" TargetMode="External"/><Relationship Id="rId24" Type="http://schemas.openxmlformats.org/officeDocument/2006/relationships/hyperlink" Target="https://rsf.org/en/index" TargetMode="External"/><Relationship Id="rId25" Type="http://schemas.openxmlformats.org/officeDocument/2006/relationships/hyperlink" Target="https://news.un.org/en/story/2026/04/1167416" TargetMode="External"/><Relationship Id="rId26" Type="http://schemas.openxmlformats.org/officeDocument/2006/relationships/hyperlink" Target="https://edition.cnn.com/2026/04/29/uk/north-london-stabbing-jewish-community-intl" TargetMode="External"/><Relationship Id="rId27" Type="http://schemas.openxmlformats.org/officeDocument/2006/relationships/hyperlink" Target="https://www.bbc.com/news/articles/c8r8j1l6j0go" TargetMode="External"/><Relationship Id="rId28" Type="http://schemas.openxmlformats.org/officeDocument/2006/relationships/hyperlink" Target="https://news.un.org/en/story/2026/05/1167439" TargetMode="External"/><Relationship Id="rId29" Type="http://schemas.openxmlformats.org/officeDocument/2006/relationships/hyperlink" Target="https://www.hrw.org/news/2026/05/04/china-harmonization-plan-erasing-tibetan-language" TargetMode="External"/><Relationship Id="rId30" Type="http://schemas.openxmlformats.org/officeDocument/2006/relationships/hyperlink" Target="https://news.un.org/en/story/2026/05/1167445" TargetMode="External"/><Relationship Id="rId31" Type="http://schemas.openxmlformats.org/officeDocument/2006/relationships/hyperlink" Target="https://news.un.org/en/story/2026/05/1167449" TargetMode="External"/><Relationship Id="rId32" Type="http://schemas.openxmlformats.org/officeDocument/2006/relationships/hyperlink" Target="https://www.civicus.org/index.php/media-resources/news/8302-bahrain-civil-society-urges-world-leaders-to-act-against-citizenship-stripping-and-related-human-rights-violations" TargetMode="External"/><Relationship Id="rId33" Type="http://schemas.openxmlformats.org/officeDocument/2006/relationships/hyperlink" Target="https://edition.cnn.com/2026/05/05/europe/russia-strike-before-victory-day-parade-intl" TargetMode="External"/><Relationship Id="rId34" Type="http://schemas.openxmlformats.org/officeDocument/2006/relationships/hyperlink" Target="https://www.hrw.org/news/2026/05/07/un-guidance-on-dismantling-gender-stereotypes" TargetMode="External"/><Relationship Id="rId35" Type="http://schemas.openxmlformats.org/officeDocument/2006/relationships/hyperlink" Target="https://www.hrw.org/news/2026/05/08/australia-3-alleged-isis-linked-women-face-serious-charges" TargetMode="External"/><Relationship Id="rId36" Type="http://schemas.openxmlformats.org/officeDocument/2006/relationships/hyperlink" Target="https://news.un.org/en/story/2026/05/1167484" TargetMode="External"/><Relationship Id="rId37" Type="http://schemas.openxmlformats.org/officeDocument/2006/relationships/hyperlink" Target="https://www.hrw.org/news/2026/05/12/european-union-surveillance-technology-sold-to-rights-violators" TargetMode="External"/><Relationship Id="rId38" Type="http://schemas.openxmlformats.org/officeDocument/2006/relationships/hyperlink" Target="https://news.un.org/en/story/2026/05/1167492" TargetMode="External"/><Relationship Id="rId39" Type="http://schemas.openxmlformats.org/officeDocument/2006/relationships/hyperlink" Target="https://news.un.org/en/story/2026/05/1167495" TargetMode="External"/><Relationship Id="rId40" Type="http://schemas.openxmlformats.org/officeDocument/2006/relationships/hyperlink" Target="https://lemonpress.mn/post/cVgdzJ86xR6" TargetMode="External"/><Relationship Id="rId41" Type="http://schemas.openxmlformats.org/officeDocument/2006/relationships/hyperlink" Target="https://news.un.org/en/story/2026/05/1167502" TargetMode="External"/><Relationship Id="rId42" Type="http://schemas.openxmlformats.org/officeDocument/2006/relationships/hyperlink" Target="https://www.bbc.com/future/article/20260513-your-car-is-spying-on-you-its-about-to-get-worse" TargetMode="External"/><Relationship Id="rId43" Type="http://schemas.openxmlformats.org/officeDocument/2006/relationships/hyperlink" Target="https://news.un.org/en/story/2026/05/1167504" TargetMode="External"/><Relationship Id="rId44" Type="http://schemas.openxmlformats.org/officeDocument/2006/relationships/hyperlink" Target="https://news.un.org/en/story/2026/05/1167514" TargetMode="External"/><Relationship Id="rId45" Type="http://schemas.openxmlformats.org/officeDocument/2006/relationships/hyperlink" Target="https://news.un.org/en/story/2026/05/1167520" TargetMode="External"/><Relationship Id="rId46" Type="http://schemas.openxmlformats.org/officeDocument/2006/relationships/hyperlink" Target="https://ikon.mn/n/3njt" TargetMode="External"/><Relationship Id="rId47" Type="http://schemas.openxmlformats.org/officeDocument/2006/relationships/hyperlink" Target="https://ikon.mn/n/3nk4" TargetMode="External"/><Relationship Id="rId48" Type="http://schemas.openxmlformats.org/officeDocument/2006/relationships/hyperlink" Target="https://news.un.org/en/story/2026/05/1167532" TargetMode="External"/><Relationship Id="rId49" Type="http://schemas.openxmlformats.org/officeDocument/2006/relationships/hyperlink" Target="https://news.un.org/en/story/2026/05/1167541" TargetMode="External"/><Relationship Id="rId50" Type="http://schemas.openxmlformats.org/officeDocument/2006/relationships/hyperlink" Target="https://www.montsame.mn/mn/read/399523" TargetMode="External"/><Relationship Id="rId51" Type="http://schemas.openxmlformats.org/officeDocument/2006/relationships/hyperlink" Target="https://news.un.org/en/story/2026/05/1167554" TargetMode="External"/><Relationship Id="rId52" Type="http://schemas.openxmlformats.org/officeDocument/2006/relationships/hyperlink" Target="https://www.democracynow.org/2026/5/28/headlines" TargetMode="External"/><Relationship Id="rId53" Type="http://schemas.openxmlformats.org/officeDocument/2006/relationships/hyperlink" Target="https://www.hrw.org/news/2026/05/28/russia-lgbt-rights-groups-further-criminalized" TargetMode="External"/><Relationship Id="rId54" Type="http://schemas.openxmlformats.org/officeDocument/2006/relationships/hyperlink" Target="https://www.hrw.org/news" TargetMode="External"/><Relationship Id="rId55" Type="http://schemas.openxmlformats.org/officeDocument/2006/relationships/hyperlink" Target="https://news.un.org/en/story/2026/05/1167608" TargetMode="External"/><Relationship Id="rId56" Type="http://schemas.openxmlformats.org/officeDocument/2006/relationships/hyperlink" Target="https://ikon.mn/n/3nwu" TargetMode="External"/><Relationship Id="rId57" Type="http://schemas.openxmlformats.org/officeDocument/2006/relationships/hyperlink" Target="https://news.un.org/en/story/2026/06/1167620" TargetMode="External"/><Relationship Id="rId58" Type="http://schemas.openxmlformats.org/officeDocument/2006/relationships/hyperlink" Target="https://news.un.org/en/story/2026/06/1167644" TargetMode="External"/><Relationship Id="rId59" Type="http://schemas.openxmlformats.org/officeDocument/2006/relationships/hyperlink" Target="https://ikon.mn/n/3nyj" TargetMode="External"/><Relationship Id="rId60" Type="http://schemas.openxmlformats.org/officeDocument/2006/relationships/hyperlink" Target="https://news.un.org/en/story/2026/06/1167658" TargetMode="External"/><Relationship Id="rId61" Type="http://schemas.openxmlformats.org/officeDocument/2006/relationships/hyperlink" Target="https://www.hrw.org/news/2026/06/11/afghanistan-taliban-use-excessive-force-against-protesters" TargetMode="External"/><Relationship Id="rId62" Type="http://schemas.openxmlformats.org/officeDocument/2006/relationships/hyperlink" Target="https://www.amnesty.org/en/latest/news/2026/06/pakistan-terrorism-designation-of-protest-movement-marks-dangerous-escalation-in-jammu-and-kashmir-crackdown/" TargetMode="External"/><Relationship Id="rId63" Type="http://schemas.openxmlformats.org/officeDocument/2006/relationships/hyperlink" Target="https://www.amnesty.org/en/latest/news/2026/06/pakistan-terrorism-designation-of-protest-movement-marks-dangerous-escalation-in-jammu-and-kashmir-crackdown/" TargetMode="External"/><Relationship Id="rId64" Type="http://schemas.openxmlformats.org/officeDocument/2006/relationships/hyperlink" Target="https://www.amnesty.org/en/latest/news/2026/06/mexico-las-autoridades-deben-garantizar-el-derecho-a-la-protesta-pacifica-de-familias-buscadoras/" TargetMode="External"/><Relationship Id="rId65" Type="http://schemas.openxmlformats.org/officeDocument/2006/relationships/hyperlink" Target="https://www.amnesty.org/en/latest/news/2026/06/mexico-las-autoridades-deben-garantizar-el-derecho-a-la-protesta-pacifica-de-familias-buscadoras/" TargetMode="External"/><Relationship Id="rId66" Type="http://schemas.openxmlformats.org/officeDocument/2006/relationships/hyperlink" Target="https://www.montsame.mn/mn/read/402219" TargetMode="External"/><Relationship Id="rId67" Type="http://schemas.openxmlformats.org/officeDocument/2006/relationships/hyperlink" Target="https://ikon.mn/n/3o9w" TargetMode="External"/><Relationship Id="rId68" Type="http://schemas.openxmlformats.org/officeDocument/2006/relationships/hyperlink" Target="https://www.montsame.mn/mn/read/402374" TargetMode="External"/><Relationship Id="rId69" Type="http://schemas.openxmlformats.org/officeDocument/2006/relationships/hyperlink" Target="https://news.un.org/en/story/2026/06/1167752" TargetMode="External"/><Relationship Id="rId70" Type="http://schemas.openxmlformats.org/officeDocument/2006/relationships/hyperlink" Target="https://news.un.org/en/story/2026/06/1167760" TargetMode="External"/><Relationship Id="rId71" Type="http://schemas.openxmlformats.org/officeDocument/2006/relationships/hyperlink" Target="https://www.montsame.mn/mn/read/402666" TargetMode="External"/><Relationship Id="rId72" Type="http://schemas.openxmlformats.org/officeDocument/2006/relationships/hyperlink" Target="https://www.ohchr.org/en/press-releases/2026/06/un-report-documents-widespread-and-brutal-use-sexual-violence-sudan" TargetMode="External"/><Relationship Id="rId73" Type="http://schemas.openxmlformats.org/officeDocument/2006/relationships/hyperlink" Target="https://www.hrw.org/news/2026/06/25/turkiye-crackdown-ahead-of-nato-summit" TargetMode="External"/><Relationship Id="rId74" Type="http://schemas.openxmlformats.org/officeDocument/2006/relationships/hyperlink" Target="https://www.un.org/unispal/document/uncoi-press-release-23jun26/" TargetMode="External"/><Relationship Id="rId75" Type="http://schemas.openxmlformats.org/officeDocument/2006/relationships/hyperlink" Target="https://www.hrw.org/report/2026/06/25/dying-in-detention/rising-deaths-in-an-expanding-us-immigration-detention-system" TargetMode="External"/><Relationship Id="rId76" Type="http://schemas.openxmlformats.org/officeDocument/2006/relationships/hyperlink" Target="https://www.hrw.org/news/2026/06/23/6-executed-as-jordan-resumes-death-penalty" TargetMode="External"/><Relationship Id="rId77" Type="http://schemas.openxmlformats.org/officeDocument/2006/relationships/hyperlink" Target="https://www.visionofhumanity.org/maps/?gad_source=1&amp;gad_campaignid=22116084622&amp;gbraid=0AAAAADmneRZc0ajDaNrT9ULPtjwi5cYQH&amp;gclid=CjwKCAjwmJjSBhB-EiwAkZgxi3GrazTIfu5C9zCXJrLf0slPuQelRDnEmcbh80aGEw9UL--Msp7jbhoC9ZoQAvD_BwE" TargetMode="External"/><Relationship Id="rId78" Type="http://schemas.openxmlformats.org/officeDocument/2006/relationships/hyperlink" Target="https://ikon.mn/n/3oh9" TargetMode="External"/><Relationship Id="rId79" Type="http://schemas.openxmlformats.org/officeDocument/2006/relationships/hyperlink" Target="https://www.amnesty.org/en/latest/news/2026/06/global-un-drug-control-bodies-must-take-urgent-action-towards-ending-unlawful-use-of-the-death-penalty-for-drug-related-offences/" TargetMode="External"/><Relationship Id="rId80" Type="http://schemas.openxmlformats.org/officeDocument/2006/relationships/hyperlink" Target="https://www.montsame.mn/mn/read/403293" TargetMode="External"/><Relationship Id="rId81" Type="http://schemas.openxmlformats.org/officeDocument/2006/relationships/hyperlink" Target="https://ikon.mn/n/3ol5" TargetMode="External"/><Relationship Id="rId82" Type="http://schemas.openxmlformats.org/officeDocument/2006/relationships/hyperlink" Target="https://www.ohchr.org/en/press-releases/2026/06/sudan-human-rights-council-hold-urgent-debate-3-july-human-rights-situation" TargetMode="External"/><Relationship Id="rId83" Type="http://schemas.openxmlformats.org/officeDocument/2006/relationships/hyperlink" Target="https://ikon.mn/n/3oni" TargetMode="External"/><Relationship Id="rId84" Type="http://schemas.openxmlformats.org/officeDocument/2006/relationships/hyperlink" Target="https://www.montsame.mn/mn/read/403731" TargetMode="External"/><Relationship Id="rId85" Type="http://schemas.openxmlformats.org/officeDocument/2006/relationships/hyperlink" Target="https://ikon.mn/n/3opo" TargetMode="External"/><Relationship Id="rId86" Type="http://schemas.openxmlformats.org/officeDocument/2006/relationships/hyperlink" Target="https://news.un.org/en/story/2026/07/1168045" TargetMode="External"/><Relationship Id="rId87" Type="http://schemas.openxmlformats.org/officeDocument/2006/relationships/hyperlink" Target="https://news.un.org/en/story/2026/07/1168057" TargetMode="External"/><Relationship Id="rId88" Type="http://schemas.openxmlformats.org/officeDocument/2006/relationships/hyperlink" Target="https://news.un.org/en/story/2026/07/1168051" TargetMode="External"/><Relationship Id="rId89" Type="http://schemas.openxmlformats.org/officeDocument/2006/relationships/hyperlink" Target="https://www.france24.com/en/europe/20260730-hundreds-of-migrants-enter-spain-north-african-territory-ceuta-from-morocco" TargetMode="External"/><Relationship Id="rId90" Type="http://schemas.openxmlformats.org/officeDocument/2006/relationships/hyperlink" Target="https://www.aljazeera.com/news/2026/7/31/nepals-pm-urges-calm-as-three-people-killed-after-hindu-muslim-unrest" TargetMode="External"/><Relationship Id="rId91" Type="http://schemas.openxmlformats.org/officeDocument/2006/relationships/hyperlink" Target="https://www.hrw.org/news/2026/07/29/vietnam-quash-conviction-of-social-media-commentator" TargetMode="External"/><Relationship Id="rId92" Type="http://schemas.openxmlformats.org/officeDocument/2006/relationships/hyperlink" Target="https://www.hongkongwatch.org/all-posts/2026/30/7/hong-kong-watch-briefing-on-human-rights-developments-july-2026" TargetMode="External"/><Relationship Id="rId93" Type="http://schemas.openxmlformats.org/officeDocument/2006/relationships/hyperlink" Target="https://www.justsecurity.org/150442/early-edition-july-30-2026-2/" TargetMode="External"/><Relationship Id="rId94" Type="http://schemas.openxmlformats.org/officeDocument/2006/relationships/hyperlink" Target="https://ikon.mn/n/3pdg" TargetMode="External"/><Relationship Id="rId95" Type="http://schemas.openxmlformats.org/officeDocument/2006/relationships/hyperlink" Target="https://www.ohchr.org/en/press-releases/2026/08/un-expert-respect-human-rights-key-resolving-multiple-crises-cambodia?utm_source=chatgpt.com" TargetMode="External"/><Relationship Id="rId96" Type="http://schemas.openxmlformats.org/officeDocument/2006/relationships/hyperlink" Target="https://news.un.org/en/story/2026/08/1168079" TargetMode="External"/><Relationship Id="rId97" Type="http://schemas.openxmlformats.org/officeDocument/2006/relationships/hyperlink" Target="https://ikon.mn/n/3pgo" TargetMode="External"/><Relationship Id="rId98" Type="http://schemas.openxmlformats.org/officeDocument/2006/relationships/hyperlink" Target="https://www.montsame.mn/mn/read/406316" TargetMode="External"/><Relationship Id="rId99" Type="http://schemas.openxmlformats.org/officeDocument/2006/relationships/hyperlink" Target="https://www.ohchr.org/en/press-releases/2026/08/un-experts-condemn-escalation-attacks-against-palestinians-gaza-and-west" TargetMode="External"/><Relationship Id="rId100" Type="http://schemas.openxmlformats.org/officeDocument/2006/relationships/hyperlink" Target="https://www.ohchr.org/en/press-releases/2026/08/lebanon-abolition-death-penalty" TargetMode="External"/><Relationship Id="rId101" Type="http://schemas.openxmlformats.org/officeDocument/2006/relationships/hyperlink" Target="https://rsf.org/en/venezuela-rsf-and-partner-organisations-highlight-four-years-severe-restrictions-press-freedom" TargetMode="External"/><Relationship Id="rId102" Type="http://schemas.openxmlformats.org/officeDocument/2006/relationships/hyperlink" Target="https://www.hrw.org/news/2026/08/13/us-federal-agencies-abandon-civil-rights-duties" TargetMode="External"/><Relationship Id="rId103" Type="http://schemas.openxmlformats.org/officeDocument/2006/relationships/hyperlink" Target="https://www.democracynow.org/2026/8/6/kashmir_mass_protests" TargetMode="External"/><Relationship Id="rId104" Type="http://schemas.openxmlformats.org/officeDocument/2006/relationships/hyperlink" Target="https://www.ohchr.org/en/press-releases/2026/08/south-sudan-un-commission-warns-elections-without-essential-safeguards-and" TargetMode="External"/><Relationship Id="rId105" Type="http://schemas.openxmlformats.org/officeDocument/2006/relationships/hyperlink" Target="https://www.ilo.org/" TargetMode="External"/><Relationship Id="rId106" Type="http://schemas.openxmlformats.org/officeDocument/2006/relationships/hyperlink" Target="https://www.amnesty.org/" TargetMode="External"/><Relationship Id="rId107" Type="http://schemas.openxmlformats.org/officeDocument/2006/relationships/hyperlink" Target="https://press.un.org/en/2026/sc16437.doc.htm" TargetMode="External"/><Relationship Id="rId108" Type="http://schemas.openxmlformats.org/officeDocument/2006/relationships/hyperlink" Target="https://www.ochaopt.org/content/humanitarian-situation-report-28-august-2026" TargetMode="External"/><Relationship Id="rId109" Type="http://schemas.openxmlformats.org/officeDocument/2006/relationships/hyperlink" Target="https://www.hrw.org/news/2026/09/03/india-renewed-ethnic-violence-in-manipur" TargetMode="External"/><Relationship Id="rId110" Type="http://schemas.openxmlformats.org/officeDocument/2006/relationships/hyperlink" Target="https://www.hrw.org/news/2026/09/10/iran-ongoing-unlawful-execution-campaign-against-protesters" TargetMode="External"/><Relationship Id="rId111" Type="http://schemas.openxmlformats.org/officeDocument/2006/relationships/hyperlink" Target="https://www.hrw.org/news/2026/09/21/another-journalist-in-mali-sentenced-to-prison" TargetMode="External"/><Relationship Id="rId112" Type="http://schemas.openxmlformats.org/officeDocument/2006/relationships/hyperlink" Target="https://www.hrw.org/news/2026/09/21/us-deportations-to-haiti-endanger-lives" TargetMode="External"/><Relationship Id="rId113" Type="http://schemas.openxmlformats.org/officeDocument/2006/relationships/hyperlink" Target="https://www.hrw.org/news/2026/09/21/armenian-prisoners-in-azerbaijan-allege-rights-violations" TargetMode="External"/><Relationship Id="rId114" Type="http://schemas.openxmlformats.org/officeDocument/2006/relationships/hyperlink" Target="https://www.hrw.org/news/2026/09/22/niger-junta-strips-5-more-exiled-critics-of-nationality" TargetMode="External"/><Relationship Id="rId115" Type="http://schemas.openxmlformats.org/officeDocument/2006/relationships/hyperlink" Target="https://www.hrw.org/news/2026/09/23/south-koreas-systemic-gender-and-age-discrimination" TargetMode="External"/><Relationship Id="rId116" Type="http://schemas.openxmlformats.org/officeDocument/2006/relationships/hyperlink" Target="https://www.hrw.org/news/2026/09/24/malaysia-release-detained-human-rights-defenders-and-end-harassment-against-them" TargetMode="External"/><Relationship Id="rId117" Type="http://schemas.openxmlformats.org/officeDocument/2006/relationships/hyperlink" Target="https://www.hrw.org/news/2026/09/24/russia-crackdown-on-bypassing-online-censorship" TargetMode="External"/><Relationship Id="rId118" Type="http://schemas.openxmlformats.org/officeDocument/2006/relationships/hyperlink" Target="https://www.hrw.org/news/2026/09/25/ethiopia-indiscriminate-airstrike-in-tigray" TargetMode="External"/><Relationship Id="rId119" Type="http://schemas.openxmlformats.org/officeDocument/2006/relationships/hyperlink" Target="https://www.hrw.org/news/2026/09/27/syria-reconstruction-deals-lack-critical-rights-framework" TargetMode="External"/><Relationship Id="rId120" Type="http://schemas.openxmlformats.org/officeDocument/2006/relationships/hyperlink" Target="https://www.hrw.org/news/2026/09/28/children-in-anguish-as-us-immigration-arrests-surge" TargetMode="External"/><Relationship Id="rId121" Type="http://schemas.openxmlformats.org/officeDocument/2006/relationships/hyperlink" Target="https://www.amnesty.org/en/latest/news/2026/09/mali-war-wagner/" TargetMode="External"/><Relationship Id="rId122" Type="http://schemas.openxmlformats.org/officeDocument/2006/relationships/hyperlink" Target="https://www.hrw.org/news/2026/09/30/united-arab-emirates-a-year-on-critic-remains-in-detention" TargetMode="External"/><Relationship Id="rId123" Type="http://schemas.openxmlformats.org/officeDocument/2006/relationships/hyperlink" Target="https://www.amnesty.org/en/latest/news/2026/09/haiti-ataque-en-artibonite-demuestra-la-urgencia-de-convertir-los-compromisos-internacionales-en-proteccion-efectiva/" TargetMode="External"/><Relationship Id="rId124" Type="http://schemas.openxmlformats.org/officeDocument/2006/relationships/hyperlink" Target="https://news.un.org/en/story/2026/09/1168496" TargetMode="External"/><Relationship Id="rId125" Type="http://schemas.openxmlformats.org/officeDocument/2006/relationships/hyperlink" Target="https://www.hrw.org/news/2026/10/01/uzbekistan-guarantee-karakalpak-lawyers-safety" TargetMode="External"/><Relationship Id="rId126" Type="http://schemas.openxmlformats.org/officeDocument/2006/relationships/hyperlink" Target="https://www.hrw.org/news/2026/10/01/us-nebraskans-losing-coverage-as-medicaid-changes" TargetMode="External"/><Relationship Id="rId127" Type="http://schemas.openxmlformats.org/officeDocument/2006/relationships/hyperlink" Target="https://www.hrw.org/news/2026/10/01/uk-trial-challenges-gold-industrys-responsible-gold-certification" TargetMode="External"/><Relationship Id="rId128" Type="http://schemas.openxmlformats.org/officeDocument/2006/relationships/hyperlink" Target="https://www.amnesty.org/en/latest/news/2026/10/algeria-parliament-must-reject-regressive-legislation-expanding-death-penalty/" TargetMode="External"/><Relationship Id="rId129" Type="http://schemas.openxmlformats.org/officeDocument/2006/relationships/hyperlink" Target="https://www.amnesty.org/en/latest/news/2026/10/whistleblower-reveals-how-morocco-used-a-web-of-surveillance-to-silence-journalists/" TargetMode="External"/><Relationship Id="rId130" Type="http://schemas.openxmlformats.org/officeDocument/2006/relationships/hyperlink" Target="https://news.un.org/en/story/2026/10/1168504" TargetMode="External"/><Relationship Id="rId131" Type="http://schemas.openxmlformats.org/officeDocument/2006/relationships/hyperlink" Target="https://news.un.org/en/story/2026/10/1168499" TargetMode="External"/><Relationship Id="rId132" Type="http://schemas.openxmlformats.org/officeDocument/2006/relationships/hyperlink" Target="https://www.hrw.org/news/2026/10/03/greece-rights-defenders-on-trial" TargetMode="External"/><Relationship Id="rId133" Type="http://schemas.openxmlformats.org/officeDocument/2006/relationships/hyperlink" Target="https://www.hrw.org/news/2026/10/04/afghans-await-justice-25-years-after-war-began" TargetMode="External"/><Relationship Id="rId134" Type="http://schemas.openxmlformats.org/officeDocument/2006/relationships/hyperlink" Target="https://www.hrw.org/news/2026/10/05/iraq-dire-prospects-for-alleged-isis-linked-men-boys" TargetMode="External"/><Relationship Id="rId135" Type="http://schemas.openxmlformats.org/officeDocument/2006/relationships/hyperlink" Target="https://www.amnesty.org/en/latest/news/2026/10/france-authorities-must-de-escalate-tensions-during-student-protests/" TargetMode="External"/><Relationship Id="rId136" Type="http://schemas.openxmlformats.org/officeDocument/2006/relationships/hyperlink" Target="https://www.hrw.org/news/2026/10/06/tunisia-power-water-shortages-endanger-rights" TargetMode="External"/><Relationship Id="rId137" Type="http://schemas.openxmlformats.org/officeDocument/2006/relationships/hyperlink" Target="https://www.hrw.org/news/2026/10/06/yemen-houthis-prosecute-un-civil-society-staff" TargetMode="External"/><Relationship Id="rId138" Type="http://schemas.openxmlformats.org/officeDocument/2006/relationships/hyperlink" Target="https://www.hrw.org/news/2026/10/06/missing-lao-critic-in-thailand-feared-disappeared" TargetMode="External"/><Relationship Id="rId139" Type="http://schemas.openxmlformats.org/officeDocument/2006/relationships/hyperlink" Target="https://www.hrw.org/news/2026/10/06/eu-ending-funding-for-anti-racism-network" TargetMode="External"/><Relationship Id="rId140" Type="http://schemas.openxmlformats.org/officeDocument/2006/relationships/hyperlink" Target="https://www.amnesty.org/en/latest/news/2026/10/saudi-arabia-overturn-death-sentence-against-sri-lankan-migrant-worker-over-social-media-post/" TargetMode="External"/><Relationship Id="rId141" Type="http://schemas.openxmlformats.org/officeDocument/2006/relationships/hyperlink" Target="https://www.hrw.org/news/2026/10/08/us-deportations-to-african-countries-not-their-own" TargetMode="External"/><Relationship Id="rId142" Type="http://schemas.openxmlformats.org/officeDocument/2006/relationships/hyperlink" Target="https://www.hrw.org/news/2026/10/08/blogger-jailed-for-four-years-in-uzbekistan" TargetMode="External"/><Relationship Id="rId143" Type="http://schemas.openxmlformats.org/officeDocument/2006/relationships/hyperlink" Target="https://www.hrw.org/news/2026/10/08/bahrain-authorities-rearrest-pardoned-detainees" TargetMode="External"/><Relationship Id="rId144" Type="http://schemas.openxmlformats.org/officeDocument/2006/relationships/hyperlink" Target="https://www.hrw.org/news/2026/10/08/un-child-rights-committee-calls-for-free-pre-primary-education-in-uganda" TargetMode="External"/><Relationship Id="rId145" Type="http://schemas.openxmlformats.org/officeDocument/2006/relationships/hyperlink" Target="https://www.hrw.org/news/2026/10/08/airstrike-damages-hospital-in-central-ukraine" TargetMode="External"/><Relationship Id="rId146" Type="http://schemas.openxmlformats.org/officeDocument/2006/relationships/hyperlink" Target="https://www.hrw.org/news/2026/10/09/wars-hidden-mental-health-toll-on-children-with-disabilities" TargetMode="External"/><Relationship Id="rId147" Type="http://schemas.openxmlformats.org/officeDocument/2006/relationships/hyperlink" Target="https://www.ohchr.org/en/press-briefing-notes/2026/10/syria-detentions-syrians-israeli-forces-amid-ongoing-israeli" TargetMode="External"/><Relationship Id="rId148" Type="http://schemas.openxmlformats.org/officeDocument/2006/relationships/hyperlink" Target="https://www.ohchr.org/en/press-releases/2026/10/new-us-sanctions-against-international-criminal-court-unacceptable-turk" TargetMode="External"/><Relationship Id="rId149" Type="http://schemas.openxmlformats.org/officeDocument/2006/relationships/hyperlink" Target="https://www.hrw.org/news/2026/10/10/gaza-ceasefire-anniversary-marks-year-of-failed-promises" TargetMode="External"/><Relationship Id="rId150"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3" activePane="bottomLeft" state="frozen"/>
      <selection pane="topLeft" activeCell="A1" activeCellId="0" sqref="A1"/>
      <selection pane="bottomLeft" activeCell="A70" activeCellId="0" sqref="A70"/>
    </sheetView>
  </sheetViews>
  <sheetFormatPr defaultColWidth="8.6796875" defaultRowHeight="15" zeroHeight="false" outlineLevelRow="0" outlineLevelCol="0"/>
  <cols>
    <col collapsed="false" customWidth="true" hidden="false" outlineLevel="0" max="1" min="1" style="0" width="6.71"/>
    <col collapsed="false" customWidth="true" hidden="false" outlineLevel="0" max="2" min="2" style="0" width="24.14"/>
    <col collapsed="false" customWidth="true" hidden="false" outlineLevel="0" max="3" min="3" style="0" width="28.42"/>
    <col collapsed="false" customWidth="true" hidden="false" outlineLevel="0" max="4" min="4" style="0" width="41.86"/>
    <col collapsed="false" customWidth="true" hidden="false" outlineLevel="0" max="5" min="5" style="0" width="80.15"/>
    <col collapsed="false" customWidth="true" hidden="false" outlineLevel="0" max="6" min="6" style="0" width="44.42"/>
    <col collapsed="false" customWidth="true" hidden="false" outlineLevel="0" max="7" min="7" style="0" width="48.57"/>
    <col collapsed="false" customWidth="true" hidden="false" outlineLevel="0" max="8" min="8" style="0" width="34.14"/>
    <col collapsed="false" customWidth="true" hidden="false" outlineLevel="0" max="9" min="9" style="0" width="57.42"/>
    <col collapsed="false" customWidth="true" hidden="false" outlineLevel="0" max="10" min="10" style="0" width="42.57"/>
    <col collapsed="false" customWidth="true" hidden="false" outlineLevel="0" max="11" min="11" style="0" width="38.71"/>
    <col collapsed="false" customWidth="true" hidden="false" outlineLevel="0" max="12" min="12" style="0" width="50.29"/>
    <col collapsed="false" customWidth="true" hidden="false" outlineLevel="0" max="13" min="13" style="0" width="40"/>
    <col collapsed="false" customWidth="true" hidden="false" outlineLevel="0" max="14" min="14" style="0" width="26.71"/>
    <col collapsed="false" customWidth="true" hidden="false" outlineLevel="0" max="15" min="15" style="0" width="40"/>
    <col collapsed="false" customWidth="true" hidden="false" outlineLevel="0" max="16" min="16" style="0" width="33.29"/>
    <col collapsed="false" customWidth="true" hidden="false" outlineLevel="0" max="17" min="17" style="0" width="26.71"/>
    <col collapsed="false" customWidth="true" hidden="false" outlineLevel="0" max="18" min="18" style="0" width="33.29"/>
  </cols>
  <sheetData>
    <row r="1" customFormat="false" ht="15" hidden="false" customHeight="false" outlineLevel="0" collapsed="false">
      <c r="A1" s="1"/>
      <c r="B1" s="1"/>
      <c r="C1" s="1"/>
      <c r="D1" s="1"/>
      <c r="E1" s="1"/>
      <c r="F1" s="1"/>
      <c r="G1" s="1"/>
      <c r="H1" s="1"/>
      <c r="I1" s="1"/>
      <c r="J1" s="1"/>
      <c r="K1" s="1"/>
      <c r="L1" s="1"/>
      <c r="M1" s="2"/>
      <c r="N1" s="2"/>
      <c r="O1" s="2"/>
      <c r="P1" s="2"/>
      <c r="Q1" s="2"/>
      <c r="R1" s="2"/>
    </row>
    <row r="2" customFormat="false" ht="15" hidden="false" customHeight="false" outlineLevel="0" collapsed="false">
      <c r="A2" s="1"/>
      <c r="B2" s="1"/>
      <c r="C2" s="3" t="s">
        <v>0</v>
      </c>
      <c r="D2" s="3"/>
      <c r="E2" s="3"/>
      <c r="F2" s="3"/>
      <c r="G2" s="3"/>
      <c r="H2" s="3"/>
      <c r="I2" s="3"/>
      <c r="J2" s="3"/>
      <c r="K2" s="3"/>
      <c r="L2" s="1"/>
      <c r="M2" s="2"/>
      <c r="N2" s="2"/>
      <c r="O2" s="2"/>
      <c r="P2" s="2"/>
      <c r="Q2" s="2"/>
      <c r="R2" s="2"/>
    </row>
    <row r="3" customFormat="false" ht="15" hidden="false" customHeight="false" outlineLevel="0" collapsed="false">
      <c r="A3" s="1"/>
      <c r="B3" s="1"/>
      <c r="C3" s="1"/>
      <c r="D3" s="1"/>
      <c r="E3" s="4" t="s">
        <v>1</v>
      </c>
      <c r="F3" s="4"/>
      <c r="G3" s="4"/>
      <c r="H3" s="4"/>
      <c r="I3" s="4"/>
      <c r="J3" s="1"/>
      <c r="K3" s="1"/>
      <c r="L3" s="1"/>
      <c r="M3" s="2"/>
      <c r="N3" s="2"/>
      <c r="O3" s="2"/>
      <c r="P3" s="2"/>
      <c r="Q3" s="2"/>
      <c r="R3" s="2"/>
    </row>
    <row r="4" customFormat="false" ht="15" hidden="false" customHeight="false" outlineLevel="0" collapsed="false">
      <c r="A4" s="5" t="s">
        <v>2</v>
      </c>
      <c r="B4" s="5"/>
      <c r="C4" s="1"/>
      <c r="D4" s="1"/>
      <c r="E4" s="1"/>
      <c r="F4" s="1"/>
      <c r="G4" s="1"/>
      <c r="H4" s="1"/>
      <c r="I4" s="1"/>
      <c r="J4" s="1"/>
      <c r="K4" s="1"/>
      <c r="L4" s="1" t="s">
        <v>3</v>
      </c>
      <c r="M4" s="2"/>
      <c r="N4" s="2"/>
      <c r="O4" s="2"/>
      <c r="P4" s="2"/>
      <c r="Q4" s="2"/>
      <c r="R4" s="2"/>
    </row>
    <row r="5" customFormat="false" ht="42" hidden="false" customHeight="true" outlineLevel="0" collapsed="false">
      <c r="A5" s="6" t="s">
        <v>4</v>
      </c>
      <c r="B5" s="6" t="s">
        <v>5</v>
      </c>
      <c r="C5" s="6" t="s">
        <v>6</v>
      </c>
      <c r="D5" s="6" t="s">
        <v>7</v>
      </c>
      <c r="E5" s="6" t="s">
        <v>8</v>
      </c>
      <c r="F5" s="6" t="s">
        <v>9</v>
      </c>
      <c r="G5" s="6" t="s">
        <v>10</v>
      </c>
      <c r="H5" s="6" t="s">
        <v>11</v>
      </c>
      <c r="I5" s="6" t="s">
        <v>12</v>
      </c>
      <c r="J5" s="6" t="s">
        <v>13</v>
      </c>
      <c r="K5" s="6" t="s">
        <v>14</v>
      </c>
      <c r="L5" s="6" t="s">
        <v>15</v>
      </c>
      <c r="M5" s="7" t="s">
        <v>16</v>
      </c>
      <c r="N5" s="7" t="s">
        <v>17</v>
      </c>
      <c r="O5" s="7" t="s">
        <v>18</v>
      </c>
      <c r="P5" s="7" t="s">
        <v>19</v>
      </c>
      <c r="Q5" s="7" t="s">
        <v>20</v>
      </c>
      <c r="R5" s="7" t="s">
        <v>21</v>
      </c>
    </row>
    <row r="6" customFormat="false" ht="26.25" hidden="false" customHeight="true" outlineLevel="0" collapsed="false">
      <c r="A6" s="8" t="s">
        <v>22</v>
      </c>
      <c r="B6" s="8"/>
      <c r="C6" s="8"/>
      <c r="D6" s="8"/>
      <c r="E6" s="8"/>
      <c r="F6" s="8"/>
      <c r="G6" s="8"/>
      <c r="H6" s="8"/>
      <c r="I6" s="8"/>
      <c r="J6" s="8"/>
      <c r="K6" s="8"/>
      <c r="L6" s="8"/>
      <c r="M6" s="2"/>
      <c r="N6" s="2"/>
      <c r="O6" s="2"/>
      <c r="P6" s="2"/>
      <c r="Q6" s="2"/>
      <c r="R6" s="2"/>
    </row>
    <row r="7" customFormat="false" ht="86.25" hidden="false" customHeight="true" outlineLevel="0" collapsed="false">
      <c r="A7" s="9" t="n">
        <v>1</v>
      </c>
      <c r="B7" s="10" t="s">
        <v>23</v>
      </c>
      <c r="C7" s="9" t="n">
        <v>2026.04</v>
      </c>
      <c r="D7" s="11" t="s">
        <v>24</v>
      </c>
      <c r="E7" s="11" t="s">
        <v>25</v>
      </c>
      <c r="F7" s="10" t="s">
        <v>26</v>
      </c>
      <c r="G7" s="10" t="s">
        <v>27</v>
      </c>
      <c r="H7" s="10" t="s">
        <v>28</v>
      </c>
      <c r="I7" s="10"/>
      <c r="J7" s="10" t="s">
        <v>29</v>
      </c>
      <c r="K7" s="12" t="s">
        <v>30</v>
      </c>
      <c r="L7" s="10"/>
      <c r="M7" s="2" t="str">
        <f aca="false" t="array" ref="M7:M7">IF($G7="","",IFERROR(INDEX(Ангилал!$A$5:$A$22,MATCH(TRUE(),INDEX(ISNUMBER(SEARCH(Ангилал!$B$5:$B$22,$G7&amp;" "&amp;$D7))+ISNUMBER(SEARCH(Ангилал!$C$5:$C$22,$G7&amp;" "&amp;$D7))+IF(Ангилал!$D$5:$D$22="",0,ISNUMBER(SEARCH(Ангилал!$D$5:$D$22,$G7&amp;" "&amp;$D7)))+IF(Ангилал!$E$5:$E$22="",0,ISNUMBER(SEARCH(Ангилал!$E$5:$E$22,$G7&amp;" "&amp;$D7)))&gt;0,0),0)),"Бусад"))</f>
        <v>Үзэл бодлоо илэрхийлэх, мэдээллийн эрх</v>
      </c>
      <c r="N7" s="2"/>
      <c r="O7" s="2" t="str">
        <f aca="false">IF($G7="","",IF($N7&lt;&gt;"",$N7,$M7))</f>
        <v>Үзэл бодлоо илэрхийлэх, мэдээллийн эрх</v>
      </c>
      <c r="P7" s="2" t="str">
        <f aca="false" t="array" ref="P7:P7">IF($G7="","",IFERROR(INDEX(Ангилал!$G$5:$G$16,MATCH(TRUE(),INDEX(ISNUMBER(SEARCH(Ангилал!$H$5:$H$16,$G7&amp;" "&amp;$D7&amp;" "&amp;$E7))+ISNUMBER(SEARCH(Ангилал!$I$5:$I$16,$G7&amp;" "&amp;$D7&amp;" "&amp;$E7))+ISNUMBER(SEARCH(Ангилал!$J$5:$J$16,$G7&amp;" "&amp;$D7&amp;" "&amp;$E7))+ISNUMBER(SEARCH(Ангилал!$K$5:$K$16,$G7&amp;" "&amp;$D7&amp;" "&amp;$E7))&gt;0,0),0)),"Ерөнхий нийт"))</f>
        <v>Ерөнхий нийт</v>
      </c>
      <c r="Q7" s="2"/>
      <c r="R7" s="2" t="str">
        <f aca="false">IF($G7="","",IF($Q7&lt;&gt;"",$Q7,$P7))</f>
        <v>Ерөнхий нийт</v>
      </c>
    </row>
    <row r="8" customFormat="false" ht="72" hidden="false" customHeight="true" outlineLevel="0" collapsed="false">
      <c r="A8" s="9" t="n">
        <v>2</v>
      </c>
      <c r="B8" s="10" t="s">
        <v>31</v>
      </c>
      <c r="C8" s="9" t="n">
        <v>2026.04</v>
      </c>
      <c r="D8" s="11" t="s">
        <v>32</v>
      </c>
      <c r="E8" s="11" t="s">
        <v>33</v>
      </c>
      <c r="F8" s="10" t="s">
        <v>34</v>
      </c>
      <c r="G8" s="10" t="s">
        <v>35</v>
      </c>
      <c r="H8" s="10" t="s">
        <v>36</v>
      </c>
      <c r="I8" s="12" t="s">
        <v>37</v>
      </c>
      <c r="J8" s="10" t="s">
        <v>38</v>
      </c>
      <c r="K8" s="12" t="s">
        <v>39</v>
      </c>
      <c r="L8" s="10"/>
      <c r="M8" s="2" t="str">
        <f aca="false" t="array" ref="M8:M8">IF($G8="","",IFERROR(INDEX(Ангилал!$A$5:$A$22,MATCH(TRUE(),INDEX(ISNUMBER(SEARCH(Ангилал!$B$5:$B$22,$G8&amp;" "&amp;$D8))+ISNUMBER(SEARCH(Ангилал!$C$5:$C$22,$G8&amp;" "&amp;$D8))+IF(Ангилал!$D$5:$D$22="",0,ISNUMBER(SEARCH(Ангилал!$D$5:$D$22,$G8&amp;" "&amp;$D8)))+IF(Ангилал!$E$5:$E$22="",0,ISNUMBER(SEARCH(Ангилал!$E$5:$E$22,$G8&amp;" "&amp;$D8)))&gt;0,0),0)),"Бусад"))</f>
        <v>Хүүхдийн эрх</v>
      </c>
      <c r="N8" s="2"/>
      <c r="O8" s="2" t="str">
        <f aca="false">IF($G8="","",IF($N8&lt;&gt;"",$N8,$M8))</f>
        <v>Хүүхдийн эрх</v>
      </c>
      <c r="P8" s="2" t="str">
        <f aca="false" t="array" ref="P8:P8">IF($G8="","",IFERROR(INDEX(Ангилал!$G$5:$G$16,MATCH(TRUE(),INDEX(ISNUMBER(SEARCH(Ангилал!$H$5:$H$16,$G8&amp;" "&amp;$D8&amp;" "&amp;$E8))+ISNUMBER(SEARCH(Ангилал!$I$5:$I$16,$G8&amp;" "&amp;$D8&amp;" "&amp;$E8))+ISNUMBER(SEARCH(Ангилал!$J$5:$J$16,$G8&amp;" "&amp;$D8&amp;" "&amp;$E8))+ISNUMBER(SEARCH(Ангилал!$K$5:$K$16,$G8&amp;" "&amp;$D8&amp;" "&amp;$E8))&gt;0,0),0)),"Ерөнхий нийт"))</f>
        <v>Хүүхэд</v>
      </c>
      <c r="Q8" s="2"/>
      <c r="R8" s="2" t="str">
        <f aca="false">IF($G8="","",IF($Q8&lt;&gt;"",$Q8,$P8))</f>
        <v>Хүүхэд</v>
      </c>
    </row>
    <row r="9" customFormat="false" ht="57.75" hidden="false" customHeight="true" outlineLevel="0" collapsed="false">
      <c r="A9" s="9" t="n">
        <v>3</v>
      </c>
      <c r="B9" s="10" t="s">
        <v>40</v>
      </c>
      <c r="C9" s="9" t="n">
        <v>2026.04</v>
      </c>
      <c r="D9" s="11" t="s">
        <v>41</v>
      </c>
      <c r="E9" s="11" t="s">
        <v>42</v>
      </c>
      <c r="F9" s="10" t="s">
        <v>43</v>
      </c>
      <c r="G9" s="10" t="s">
        <v>44</v>
      </c>
      <c r="H9" s="10" t="s">
        <v>45</v>
      </c>
      <c r="I9" s="10"/>
      <c r="J9" s="10" t="s">
        <v>46</v>
      </c>
      <c r="K9" s="12" t="s">
        <v>47</v>
      </c>
      <c r="L9" s="10"/>
      <c r="M9" s="2" t="str">
        <f aca="false" t="array" ref="M9:M9">IF($G9="","",IFERROR(INDEX(Ангилал!$A$5:$A$22,MATCH(TRUE(),INDEX(ISNUMBER(SEARCH(Ангилал!$B$5:$B$22,$G9&amp;" "&amp;$D9))+ISNUMBER(SEARCH(Ангилал!$C$5:$C$22,$G9&amp;" "&amp;$D9))+IF(Ангилал!$D$5:$D$22="",0,ISNUMBER(SEARCH(Ангилал!$D$5:$D$22,$G9&amp;" "&amp;$D9)))+IF(Ангилал!$E$5:$E$22="",0,ISNUMBER(SEARCH(Ангилал!$E$5:$E$22,$G9&amp;" "&amp;$D9)))&gt;0,0),0)),"Бусад"))</f>
        <v>Хүүхдийн эрх</v>
      </c>
      <c r="N9" s="2"/>
      <c r="O9" s="2" t="str">
        <f aca="false">IF($G9="","",IF($N9&lt;&gt;"",$N9,$M9))</f>
        <v>Хүүхдийн эрх</v>
      </c>
      <c r="P9" s="2" t="str">
        <f aca="false" t="array" ref="P9:P9">IF($G9="","",IFERROR(INDEX(Ангилал!$G$5:$G$16,MATCH(TRUE(),INDEX(ISNUMBER(SEARCH(Ангилал!$H$5:$H$16,$G9&amp;" "&amp;$D9&amp;" "&amp;$E9))+ISNUMBER(SEARCH(Ангилал!$I$5:$I$16,$G9&amp;" "&amp;$D9&amp;" "&amp;$E9))+ISNUMBER(SEARCH(Ангилал!$J$5:$J$16,$G9&amp;" "&amp;$D9&amp;" "&amp;$E9))+ISNUMBER(SEARCH(Ангилал!$K$5:$K$16,$G9&amp;" "&amp;$D9&amp;" "&amp;$E9))&gt;0,0),0)),"Ерөнхий нийт"))</f>
        <v>Хүүхэд</v>
      </c>
      <c r="Q9" s="2"/>
      <c r="R9" s="2" t="str">
        <f aca="false">IF($G9="","",IF($Q9&lt;&gt;"",$Q9,$P9))</f>
        <v>Хүүхэд</v>
      </c>
    </row>
    <row r="10" customFormat="false" ht="28.5" hidden="false" customHeight="true" outlineLevel="0" collapsed="false">
      <c r="A10" s="9" t="n">
        <v>4</v>
      </c>
      <c r="B10" s="9" t="n">
        <v>2026.04</v>
      </c>
      <c r="C10" s="9" t="n">
        <v>2026.04</v>
      </c>
      <c r="D10" s="11" t="s">
        <v>48</v>
      </c>
      <c r="E10" s="11" t="s">
        <v>49</v>
      </c>
      <c r="F10" s="10" t="s">
        <v>50</v>
      </c>
      <c r="G10" s="10" t="s">
        <v>51</v>
      </c>
      <c r="H10" s="10" t="s">
        <v>52</v>
      </c>
      <c r="I10" s="10"/>
      <c r="J10" s="10" t="s">
        <v>53</v>
      </c>
      <c r="K10" s="10" t="s">
        <v>54</v>
      </c>
      <c r="L10" s="10"/>
      <c r="M10" s="2" t="str">
        <f aca="false" t="array" ref="M10:M10">IF($G10="","",IFERROR(INDEX(Ангилал!$A$5:$A$22,MATCH(TRUE(),INDEX(ISNUMBER(SEARCH(Ангилал!$B$5:$B$22,$G10&amp;" "&amp;$D10))+ISNUMBER(SEARCH(Ангилал!$C$5:$C$22,$G10&amp;" "&amp;$D10))+IF(Ангилал!$D$5:$D$22="",0,ISNUMBER(SEARCH(Ангилал!$D$5:$D$22,$G10&amp;" "&amp;$D10)))+IF(Ангилал!$E$5:$E$22="",0,ISNUMBER(SEARCH(Ангилал!$E$5:$E$22,$G10&amp;" "&amp;$D10)))&gt;0,0),0)),"Бусад"))</f>
        <v>Үзэл бодлоо илэрхийлэх, мэдээллийн эрх</v>
      </c>
      <c r="N10" s="2"/>
      <c r="O10" s="2" t="str">
        <f aca="false">IF($G10="","",IF($N10&lt;&gt;"",$N10,$M10))</f>
        <v>Үзэл бодлоо илэрхийлэх, мэдээллийн эрх</v>
      </c>
      <c r="P10" s="2" t="str">
        <f aca="false" t="array" ref="P10:P10">IF($G10="","",IFERROR(INDEX(Ангилал!$G$5:$G$16,MATCH(TRUE(),INDEX(ISNUMBER(SEARCH(Ангилал!$H$5:$H$16,$G10&amp;" "&amp;$D10&amp;" "&amp;$E10))+ISNUMBER(SEARCH(Ангилал!$I$5:$I$16,$G10&amp;" "&amp;$D10&amp;" "&amp;$E10))+ISNUMBER(SEARCH(Ангилал!$J$5:$J$16,$G10&amp;" "&amp;$D10&amp;" "&amp;$E10))+ISNUMBER(SEARCH(Ангилал!$K$5:$K$16,$G10&amp;" "&amp;$D10&amp;" "&amp;$E10))&gt;0,0),0)),"Ерөнхий нийт"))</f>
        <v>Ерөнхий нийт</v>
      </c>
      <c r="Q10" s="2"/>
      <c r="R10" s="2" t="str">
        <f aca="false">IF($G10="","",IF($Q10&lt;&gt;"",$Q10,$P10))</f>
        <v>Ерөнхий нийт</v>
      </c>
    </row>
    <row r="11" customFormat="false" ht="26.25" hidden="false" customHeight="true" outlineLevel="0" collapsed="false">
      <c r="A11" s="8" t="s">
        <v>55</v>
      </c>
      <c r="B11" s="8"/>
      <c r="C11" s="8"/>
      <c r="D11" s="8"/>
      <c r="E11" s="8"/>
      <c r="F11" s="8"/>
      <c r="G11" s="8"/>
      <c r="H11" s="8"/>
      <c r="I11" s="8"/>
      <c r="J11" s="8"/>
      <c r="K11" s="8"/>
      <c r="L11" s="8"/>
      <c r="M11" s="2" t="str">
        <f aca="false" t="array" ref="M11:M11">IF($G11="","",IFERROR(INDEX(Ангилал!$A$5:$A$22,MATCH(TRUE(),INDEX(ISNUMBER(SEARCH(Ангилал!$B$5:$B$22,$G11&amp;" "&amp;$D11))+ISNUMBER(SEARCH(Ангилал!$C$5:$C$22,$G11&amp;" "&amp;$D11))+IF(Ангилал!$D$5:$D$22="",0,ISNUMBER(SEARCH(Ангилал!$D$5:$D$22,$G11&amp;" "&amp;$D11)))+IF(Ангилал!$E$5:$E$22="",0,ISNUMBER(SEARCH(Ангилал!$E$5:$E$22,$G11&amp;" "&amp;$D11)))&gt;0,0),0)),"Бусад"))</f>
        <v/>
      </c>
      <c r="N11" s="2"/>
      <c r="O11" s="2" t="str">
        <f aca="false">IF($G11="","",IF($N11&lt;&gt;"",$N11,$M11))</f>
        <v/>
      </c>
      <c r="P11" s="2" t="str">
        <f aca="false" t="array" ref="P11:P11">IF($G11="","",IFERROR(INDEX(Ангилал!$G$5:$G$16,MATCH(TRUE(),INDEX(ISNUMBER(SEARCH(Ангилал!$H$5:$H$16,$G11&amp;" "&amp;$D11&amp;" "&amp;$E11))+ISNUMBER(SEARCH(Ангилал!$I$5:$I$16,$G11&amp;" "&amp;$D11&amp;" "&amp;$E11))+ISNUMBER(SEARCH(Ангилал!$J$5:$J$16,$G11&amp;" "&amp;$D11&amp;" "&amp;$E11))+ISNUMBER(SEARCH(Ангилал!$K$5:$K$16,$G11&amp;" "&amp;$D11&amp;" "&amp;$E11))&gt;0,0),0)),"Ерөнхий нийт"))</f>
        <v/>
      </c>
      <c r="Q11" s="2"/>
      <c r="R11" s="2" t="str">
        <f aca="false">IF($G11="","",IF($Q11&lt;&gt;"",$Q11,$P11))</f>
        <v/>
      </c>
    </row>
    <row r="12" customFormat="false" ht="57.75" hidden="false" customHeight="true" outlineLevel="0" collapsed="false">
      <c r="A12" s="9" t="n">
        <v>5</v>
      </c>
      <c r="B12" s="10" t="s">
        <v>56</v>
      </c>
      <c r="C12" s="10" t="s">
        <v>57</v>
      </c>
      <c r="D12" s="11" t="s">
        <v>58</v>
      </c>
      <c r="E12" s="11" t="s">
        <v>59</v>
      </c>
      <c r="F12" s="10" t="s">
        <v>3</v>
      </c>
      <c r="G12" s="10" t="s">
        <v>60</v>
      </c>
      <c r="H12" s="10" t="s">
        <v>61</v>
      </c>
      <c r="I12" s="10" t="s">
        <v>62</v>
      </c>
      <c r="J12" s="10" t="s">
        <v>63</v>
      </c>
      <c r="K12" s="12" t="s">
        <v>64</v>
      </c>
      <c r="L12" s="10"/>
      <c r="M12" s="2" t="str">
        <f aca="false" t="array" ref="M12:M12">IF($G12="","",IFERROR(INDEX(Ангилал!$A$5:$A$22,MATCH(TRUE(),INDEX(ISNUMBER(SEARCH(Ангилал!$B$5:$B$22,$G12&amp;" "&amp;$D12))+ISNUMBER(SEARCH(Ангилал!$C$5:$C$22,$G12&amp;" "&amp;$D12))+IF(Ангилал!$D$5:$D$22="",0,ISNUMBER(SEARCH(Ангилал!$D$5:$D$22,$G12&amp;" "&amp;$D12)))+IF(Ангилал!$E$5:$E$22="",0,ISNUMBER(SEARCH(Ангилал!$E$5:$E$22,$G12&amp;" "&amp;$D12)))&gt;0,0),0)),"Бусад"))</f>
        <v>Амьд явах, халдашгүй байх эрх</v>
      </c>
      <c r="N12" s="2"/>
      <c r="O12" s="2" t="str">
        <f aca="false">IF($G12="","",IF($N12&lt;&gt;"",$N12,$M12))</f>
        <v>Амьд явах, халдашгүй байх эрх</v>
      </c>
      <c r="P12" s="2" t="str">
        <f aca="false" t="array" ref="P12:P12">IF($G12="","",IFERROR(INDEX(Ангилал!$G$5:$G$16,MATCH(TRUE(),INDEX(ISNUMBER(SEARCH(Ангилал!$H$5:$H$16,$G12&amp;" "&amp;$D12&amp;" "&amp;$E12))+ISNUMBER(SEARCH(Ангилал!$I$5:$I$16,$G12&amp;" "&amp;$D12&amp;" "&amp;$E12))+ISNUMBER(SEARCH(Ангилал!$J$5:$J$16,$G12&amp;" "&amp;$D12&amp;" "&amp;$E12))+ISNUMBER(SEARCH(Ангилал!$K$5:$K$16,$G12&amp;" "&amp;$D12&amp;" "&amp;$E12))&gt;0,0),0)),"Ерөнхий нийт"))</f>
        <v>Хоригдол, саатуулагдсан хүн</v>
      </c>
      <c r="Q12" s="2"/>
      <c r="R12" s="2" t="str">
        <f aca="false">IF($G12="","",IF($Q12&lt;&gt;"",$Q12,$P12))</f>
        <v>Хоригдол, саатуулагдсан хүн</v>
      </c>
    </row>
    <row r="13" customFormat="false" ht="57.75" hidden="false" customHeight="true" outlineLevel="0" collapsed="false">
      <c r="A13" s="9" t="n">
        <v>6</v>
      </c>
      <c r="B13" s="10" t="s">
        <v>65</v>
      </c>
      <c r="C13" s="10" t="s">
        <v>66</v>
      </c>
      <c r="D13" s="11" t="s">
        <v>67</v>
      </c>
      <c r="E13" s="11" t="s">
        <v>68</v>
      </c>
      <c r="F13" s="10" t="s">
        <v>69</v>
      </c>
      <c r="G13" s="10" t="s">
        <v>70</v>
      </c>
      <c r="H13" s="10" t="s">
        <v>71</v>
      </c>
      <c r="I13" s="10" t="s">
        <v>72</v>
      </c>
      <c r="J13" s="10" t="s">
        <v>73</v>
      </c>
      <c r="K13" s="12" t="s">
        <v>74</v>
      </c>
      <c r="L13" s="10"/>
      <c r="M13" s="2" t="str">
        <f aca="false" t="array" ref="M13:M13">IF($G13="","",IFERROR(INDEX(Ангилал!$A$5:$A$22,MATCH(TRUE(),INDEX(ISNUMBER(SEARCH(Ангилал!$B$5:$B$22,$G13&amp;" "&amp;$D13))+ISNUMBER(SEARCH(Ангилал!$C$5:$C$22,$G13&amp;" "&amp;$D13))+IF(Ангилал!$D$5:$D$22="",0,ISNUMBER(SEARCH(Ангилал!$D$5:$D$22,$G13&amp;" "&amp;$D13)))+IF(Ангилал!$E$5:$E$22="",0,ISNUMBER(SEARCH(Ангилал!$E$5:$E$22,$G13&amp;" "&amp;$D13)))&gt;0,0),0)),"Бусад"))</f>
        <v>Амьд явах, халдашгүй байх эрх</v>
      </c>
      <c r="N13" s="2"/>
      <c r="O13" s="2" t="str">
        <f aca="false">IF($G13="","",IF($N13&lt;&gt;"",$N13,$M13))</f>
        <v>Амьд явах, халдашгүй байх эрх</v>
      </c>
      <c r="P13" s="2" t="str">
        <f aca="false" t="array" ref="P13:P13">IF($G13="","",IFERROR(INDEX(Ангилал!$G$5:$G$16,MATCH(TRUE(),INDEX(ISNUMBER(SEARCH(Ангилал!$H$5:$H$16,$G13&amp;" "&amp;$D13&amp;" "&amp;$E13))+ISNUMBER(SEARCH(Ангилал!$I$5:$I$16,$G13&amp;" "&amp;$D13&amp;" "&amp;$E13))+ISNUMBER(SEARCH(Ангилал!$J$5:$J$16,$G13&amp;" "&amp;$D13&amp;" "&amp;$E13))+ISNUMBER(SEARCH(Ангилал!$K$5:$K$16,$G13&amp;" "&amp;$D13&amp;" "&amp;$E13))&gt;0,0),0)),"Ерөнхий нийт"))</f>
        <v>Ахмад настан</v>
      </c>
      <c r="Q13" s="2"/>
      <c r="R13" s="2" t="str">
        <f aca="false">IF($G13="","",IF($Q13&lt;&gt;"",$Q13,$P13))</f>
        <v>Ахмад настан</v>
      </c>
    </row>
    <row r="14" customFormat="false" ht="72" hidden="false" customHeight="true" outlineLevel="0" collapsed="false">
      <c r="A14" s="9" t="n">
        <v>7</v>
      </c>
      <c r="B14" s="10" t="s">
        <v>65</v>
      </c>
      <c r="C14" s="10" t="s">
        <v>75</v>
      </c>
      <c r="D14" s="11" t="s">
        <v>76</v>
      </c>
      <c r="E14" s="11" t="s">
        <v>77</v>
      </c>
      <c r="F14" s="10" t="s">
        <v>78</v>
      </c>
      <c r="G14" s="10" t="s">
        <v>79</v>
      </c>
      <c r="H14" s="10" t="s">
        <v>80</v>
      </c>
      <c r="I14" s="10" t="s">
        <v>81</v>
      </c>
      <c r="J14" s="10" t="s">
        <v>82</v>
      </c>
      <c r="K14" s="12" t="s">
        <v>83</v>
      </c>
      <c r="L14" s="10"/>
      <c r="M14" s="2" t="str">
        <f aca="false" t="array" ref="M14:M14">IF($G14="","",IFERROR(INDEX(Ангилал!$A$5:$A$22,MATCH(TRUE(),INDEX(ISNUMBER(SEARCH(Ангилал!$B$5:$B$22,$G14&amp;" "&amp;$D14))+ISNUMBER(SEARCH(Ангилал!$C$5:$C$22,$G14&amp;" "&amp;$D14))+IF(Ангилал!$D$5:$D$22="",0,ISNUMBER(SEARCH(Ангилал!$D$5:$D$22,$G14&amp;" "&amp;$D14)))+IF(Ангилал!$E$5:$E$22="",0,ISNUMBER(SEARCH(Ангилал!$E$5:$E$22,$G14&amp;" "&amp;$D14)))&gt;0,0),0)),"Бусад"))</f>
        <v>Эрүүл, аюулгүй орчинд амьдрах эрх</v>
      </c>
      <c r="N14" s="2"/>
      <c r="O14" s="2" t="str">
        <f aca="false">IF($G14="","",IF($N14&lt;&gt;"",$N14,$M14))</f>
        <v>Эрүүл, аюулгүй орчинд амьдрах эрх</v>
      </c>
      <c r="P14" s="2" t="str">
        <f aca="false" t="array" ref="P14:P14">IF($G14="","",IFERROR(INDEX(Ангилал!$G$5:$G$16,MATCH(TRUE(),INDEX(ISNUMBER(SEARCH(Ангилал!$H$5:$H$16,$G14&amp;" "&amp;$D14&amp;" "&amp;$E14))+ISNUMBER(SEARCH(Ангилал!$I$5:$I$16,$G14&amp;" "&amp;$D14&amp;" "&amp;$E14))+ISNUMBER(SEARCH(Ангилал!$J$5:$J$16,$G14&amp;" "&amp;$D14&amp;" "&amp;$E14))+ISNUMBER(SEARCH(Ангилал!$K$5:$K$16,$G14&amp;" "&amp;$D14&amp;" "&amp;$E14))&gt;0,0),0)),"Ерөнхий нийт"))</f>
        <v>Ерөнхий нийт</v>
      </c>
      <c r="Q14" s="2"/>
      <c r="R14" s="2" t="str">
        <f aca="false">IF($G14="","",IF($Q14&lt;&gt;"",$Q14,$P14))</f>
        <v>Ерөнхий нийт</v>
      </c>
    </row>
    <row r="15" customFormat="false" ht="72" hidden="false" customHeight="true" outlineLevel="0" collapsed="false">
      <c r="A15" s="9" t="n">
        <v>8</v>
      </c>
      <c r="B15" s="10" t="s">
        <v>65</v>
      </c>
      <c r="C15" s="10" t="s">
        <v>84</v>
      </c>
      <c r="D15" s="11" t="s">
        <v>85</v>
      </c>
      <c r="E15" s="11" t="s">
        <v>86</v>
      </c>
      <c r="F15" s="10" t="s">
        <v>87</v>
      </c>
      <c r="G15" s="10" t="s">
        <v>79</v>
      </c>
      <c r="H15" s="10" t="s">
        <v>88</v>
      </c>
      <c r="I15" s="10" t="s">
        <v>89</v>
      </c>
      <c r="J15" s="10" t="s">
        <v>90</v>
      </c>
      <c r="K15" s="12" t="s">
        <v>91</v>
      </c>
      <c r="L15" s="10"/>
      <c r="M15" s="2" t="str">
        <f aca="false" t="array" ref="M15:M15">IF($G15="","",IFERROR(INDEX(Ангилал!$A$5:$A$22,MATCH(TRUE(),INDEX(ISNUMBER(SEARCH(Ангилал!$B$5:$B$22,$G15&amp;" "&amp;$D15))+ISNUMBER(SEARCH(Ангилал!$C$5:$C$22,$G15&amp;" "&amp;$D15))+IF(Ангилал!$D$5:$D$22="",0,ISNUMBER(SEARCH(Ангилал!$D$5:$D$22,$G15&amp;" "&amp;$D15)))+IF(Ангилал!$E$5:$E$22="",0,ISNUMBER(SEARCH(Ангилал!$E$5:$E$22,$G15&amp;" "&amp;$D15)))&gt;0,0),0)),"Бусад"))</f>
        <v>Эрүүл, аюулгүй орчинд амьдрах эрх</v>
      </c>
      <c r="N15" s="2"/>
      <c r="O15" s="2" t="str">
        <f aca="false">IF($G15="","",IF($N15&lt;&gt;"",$N15,$M15))</f>
        <v>Эрүүл, аюулгүй орчинд амьдрах эрх</v>
      </c>
      <c r="P15" s="2" t="str">
        <f aca="false" t="array" ref="P15:P15">IF($G15="","",IFERROR(INDEX(Ангилал!$G$5:$G$16,MATCH(TRUE(),INDEX(ISNUMBER(SEARCH(Ангилал!$H$5:$H$16,$G15&amp;" "&amp;$D15&amp;" "&amp;$E15))+ISNUMBER(SEARCH(Ангилал!$I$5:$I$16,$G15&amp;" "&amp;$D15&amp;" "&amp;$E15))+ISNUMBER(SEARCH(Ангилал!$J$5:$J$16,$G15&amp;" "&amp;$D15&amp;" "&amp;$E15))+ISNUMBER(SEARCH(Ангилал!$K$5:$K$16,$G15&amp;" "&amp;$D15&amp;" "&amp;$E15))&gt;0,0),0)),"Ерөнхий нийт"))</f>
        <v>Ерөнхий нийт</v>
      </c>
      <c r="Q15" s="2"/>
      <c r="R15" s="2" t="str">
        <f aca="false">IF($G15="","",IF($Q15&lt;&gt;"",$Q15,$P15))</f>
        <v>Ерөнхий нийт</v>
      </c>
    </row>
    <row r="16" customFormat="false" ht="57.75" hidden="false" customHeight="true" outlineLevel="0" collapsed="false">
      <c r="A16" s="9" t="n">
        <v>9</v>
      </c>
      <c r="B16" s="10" t="s">
        <v>65</v>
      </c>
      <c r="C16" s="10" t="s">
        <v>92</v>
      </c>
      <c r="D16" s="11" t="s">
        <v>93</v>
      </c>
      <c r="E16" s="11" t="s">
        <v>94</v>
      </c>
      <c r="F16" s="10" t="s">
        <v>95</v>
      </c>
      <c r="G16" s="10" t="s">
        <v>96</v>
      </c>
      <c r="H16" s="10" t="s">
        <v>97</v>
      </c>
      <c r="I16" s="10" t="s">
        <v>98</v>
      </c>
      <c r="J16" s="10" t="s">
        <v>99</v>
      </c>
      <c r="K16" s="12" t="s">
        <v>100</v>
      </c>
      <c r="L16" s="10"/>
      <c r="M16" s="2" t="str">
        <f aca="false" t="array" ref="M16:M16">IF($G16="","",IFERROR(INDEX(Ангилал!$A$5:$A$22,MATCH(TRUE(),INDEX(ISNUMBER(SEARCH(Ангилал!$B$5:$B$22,$G16&amp;" "&amp;$D16))+ISNUMBER(SEARCH(Ангилал!$C$5:$C$22,$G16&amp;" "&amp;$D16))+IF(Ангилал!$D$5:$D$22="",0,ISNUMBER(SEARCH(Ангилал!$D$5:$D$22,$G16&amp;" "&amp;$D16)))+IF(Ангилал!$E$5:$E$22="",0,ISNUMBER(SEARCH(Ангилал!$E$5:$E$22,$G16&amp;" "&amp;$D16)))&gt;0,0),0)),"Бусад"))</f>
        <v>Эрүүл, аюулгүй орчинд амьдрах эрх</v>
      </c>
      <c r="N16" s="2"/>
      <c r="O16" s="2" t="str">
        <f aca="false">IF($G16="","",IF($N16&lt;&gt;"",$N16,$M16))</f>
        <v>Эрүүл, аюулгүй орчинд амьдрах эрх</v>
      </c>
      <c r="P16" s="2" t="str">
        <f aca="false" t="array" ref="P16:P16">IF($G16="","",IFERROR(INDEX(Ангилал!$G$5:$G$16,MATCH(TRUE(),INDEX(ISNUMBER(SEARCH(Ангилал!$H$5:$H$16,$G16&amp;" "&amp;$D16&amp;" "&amp;$E16))+ISNUMBER(SEARCH(Ангилал!$I$5:$I$16,$G16&amp;" "&amp;$D16&amp;" "&amp;$E16))+ISNUMBER(SEARCH(Ангилал!$J$5:$J$16,$G16&amp;" "&amp;$D16&amp;" "&amp;$E16))+ISNUMBER(SEARCH(Ангилал!$K$5:$K$16,$G16&amp;" "&amp;$D16&amp;" "&amp;$E16))&gt;0,0),0)),"Ерөнхий нийт"))</f>
        <v>Ерөнхий нийт</v>
      </c>
      <c r="Q16" s="2"/>
      <c r="R16" s="2" t="str">
        <f aca="false">IF($G16="","",IF($Q16&lt;&gt;"",$Q16,$P16))</f>
        <v>Ерөнхий нийт</v>
      </c>
    </row>
    <row r="17" customFormat="false" ht="26.25" hidden="false" customHeight="true" outlineLevel="0" collapsed="false">
      <c r="A17" s="8" t="s">
        <v>101</v>
      </c>
      <c r="B17" s="8"/>
      <c r="C17" s="8"/>
      <c r="D17" s="8"/>
      <c r="E17" s="8"/>
      <c r="F17" s="8"/>
      <c r="G17" s="8"/>
      <c r="H17" s="8"/>
      <c r="I17" s="8"/>
      <c r="J17" s="8"/>
      <c r="K17" s="8"/>
      <c r="L17" s="8"/>
      <c r="M17" s="2" t="str">
        <f aca="false" t="array" ref="M17:M17">IF($G17="","",IFERROR(INDEX(Ангилал!$A$5:$A$22,MATCH(TRUE(),INDEX(ISNUMBER(SEARCH(Ангилал!$B$5:$B$22,$G17&amp;" "&amp;$D17))+ISNUMBER(SEARCH(Ангилал!$C$5:$C$22,$G17&amp;" "&amp;$D17))+IF(Ангилал!$D$5:$D$22="",0,ISNUMBER(SEARCH(Ангилал!$D$5:$D$22,$G17&amp;" "&amp;$D17)))+IF(Ангилал!$E$5:$E$22="",0,ISNUMBER(SEARCH(Ангилал!$E$5:$E$22,$G17&amp;" "&amp;$D17)))&gt;0,0),0)),"Бусад"))</f>
        <v/>
      </c>
      <c r="N17" s="2"/>
      <c r="O17" s="2" t="str">
        <f aca="false">IF($G17="","",IF($N17&lt;&gt;"",$N17,$M17))</f>
        <v/>
      </c>
      <c r="P17" s="2" t="str">
        <f aca="false" t="array" ref="P17:P17">IF($G17="","",IFERROR(INDEX(Ангилал!$G$5:$G$16,MATCH(TRUE(),INDEX(ISNUMBER(SEARCH(Ангилал!$H$5:$H$16,$G17&amp;" "&amp;$D17&amp;" "&amp;$E17))+ISNUMBER(SEARCH(Ангилал!$I$5:$I$16,$G17&amp;" "&amp;$D17&amp;" "&amp;$E17))+ISNUMBER(SEARCH(Ангилал!$J$5:$J$16,$G17&amp;" "&amp;$D17&amp;" "&amp;$E17))+ISNUMBER(SEARCH(Ангилал!$K$5:$K$16,$G17&amp;" "&amp;$D17&amp;" "&amp;$E17))&gt;0,0),0)),"Ерөнхий нийт"))</f>
        <v/>
      </c>
      <c r="Q17" s="2"/>
      <c r="R17" s="2" t="str">
        <f aca="false">IF($G17="","",IF($Q17&lt;&gt;"",$Q17,$P17))</f>
        <v/>
      </c>
    </row>
    <row r="18" customFormat="false" ht="101.25" hidden="false" customHeight="true" outlineLevel="0" collapsed="false">
      <c r="A18" s="9" t="n">
        <v>10</v>
      </c>
      <c r="B18" s="10" t="s">
        <v>102</v>
      </c>
      <c r="C18" s="10" t="s">
        <v>102</v>
      </c>
      <c r="D18" s="11" t="s">
        <v>103</v>
      </c>
      <c r="E18" s="11" t="s">
        <v>104</v>
      </c>
      <c r="F18" s="10" t="s">
        <v>105</v>
      </c>
      <c r="G18" s="10" t="s">
        <v>106</v>
      </c>
      <c r="H18" s="10" t="s">
        <v>107</v>
      </c>
      <c r="I18" s="10"/>
      <c r="J18" s="10"/>
      <c r="K18" s="12" t="s">
        <v>108</v>
      </c>
      <c r="L18" s="10"/>
      <c r="M18" s="2" t="str">
        <f aca="false" t="array" ref="M18:M18">IF($G18="","",IFERROR(INDEX(Ангилал!$A$5:$A$22,MATCH(TRUE(),INDEX(ISNUMBER(SEARCH(Ангилал!$B$5:$B$22,$G18&amp;" "&amp;$D18))+ISNUMBER(SEARCH(Ангилал!$C$5:$C$22,$G18&amp;" "&amp;$D18))+IF(Ангилал!$D$5:$D$22="",0,ISNUMBER(SEARCH(Ангилал!$D$5:$D$22,$G18&amp;" "&amp;$D18)))+IF(Ангилал!$E$5:$E$22="",0,ISNUMBER(SEARCH(Ангилал!$E$5:$E$22,$G18&amp;" "&amp;$D18)))&gt;0,0),0)),"Бусад"))</f>
        <v>Эрүүдэн шүүлт, хүнлэг бус харьцаа</v>
      </c>
      <c r="N18" s="2"/>
      <c r="O18" s="2" t="str">
        <f aca="false">IF($G18="","",IF($N18&lt;&gt;"",$N18,$M18))</f>
        <v>Эрүүдэн шүүлт, хүнлэг бус харьцаа</v>
      </c>
      <c r="P18" s="2" t="str">
        <f aca="false" t="array" ref="P18:P18">IF($G18="","",IFERROR(INDEX(Ангилал!$G$5:$G$16,MATCH(TRUE(),INDEX(ISNUMBER(SEARCH(Ангилал!$H$5:$H$16,$G18&amp;" "&amp;$D18&amp;" "&amp;$E18))+ISNUMBER(SEARCH(Ангилал!$I$5:$I$16,$G18&amp;" "&amp;$D18&amp;" "&amp;$E18))+ISNUMBER(SEARCH(Ангилал!$J$5:$J$16,$G18&amp;" "&amp;$D18&amp;" "&amp;$E18))+ISNUMBER(SEARCH(Ангилал!$K$5:$K$16,$G18&amp;" "&amp;$D18&amp;" "&amp;$E18))&gt;0,0),0)),"Ерөнхий нийт"))</f>
        <v>Хүүхэд</v>
      </c>
      <c r="Q18" s="2"/>
      <c r="R18" s="2" t="str">
        <f aca="false">IF($G18="","",IF($Q18&lt;&gt;"",$Q18,$P18))</f>
        <v>Хүүхэд</v>
      </c>
    </row>
    <row r="19" customFormat="false" ht="26.25" hidden="false" customHeight="true" outlineLevel="0" collapsed="false">
      <c r="A19" s="8" t="s">
        <v>109</v>
      </c>
      <c r="B19" s="8"/>
      <c r="C19" s="8"/>
      <c r="D19" s="8"/>
      <c r="E19" s="8"/>
      <c r="F19" s="8"/>
      <c r="G19" s="8"/>
      <c r="H19" s="8"/>
      <c r="I19" s="8"/>
      <c r="J19" s="8"/>
      <c r="K19" s="8"/>
      <c r="L19" s="8"/>
      <c r="M19" s="2" t="str">
        <f aca="false" t="array" ref="M19:M19">IF($G19="","",IFERROR(INDEX(Ангилал!$A$5:$A$22,MATCH(TRUE(),INDEX(ISNUMBER(SEARCH(Ангилал!$B$5:$B$22,$G19&amp;" "&amp;$D19))+ISNUMBER(SEARCH(Ангилал!$C$5:$C$22,$G19&amp;" "&amp;$D19))+IF(Ангилал!$D$5:$D$22="",0,ISNUMBER(SEARCH(Ангилал!$D$5:$D$22,$G19&amp;" "&amp;$D19)))+IF(Ангилал!$E$5:$E$22="",0,ISNUMBER(SEARCH(Ангилал!$E$5:$E$22,$G19&amp;" "&amp;$D19)))&gt;0,0),0)),"Бусад"))</f>
        <v/>
      </c>
      <c r="N19" s="2"/>
      <c r="O19" s="2" t="str">
        <f aca="false">IF($G19="","",IF($N19&lt;&gt;"",$N19,$M19))</f>
        <v/>
      </c>
      <c r="P19" s="2" t="str">
        <f aca="false" t="array" ref="P19:P19">IF($G19="","",IFERROR(INDEX(Ангилал!$G$5:$G$16,MATCH(TRUE(),INDEX(ISNUMBER(SEARCH(Ангилал!$H$5:$H$16,$G19&amp;" "&amp;$D19&amp;" "&amp;$E19))+ISNUMBER(SEARCH(Ангилал!$I$5:$I$16,$G19&amp;" "&amp;$D19&amp;" "&amp;$E19))+ISNUMBER(SEARCH(Ангилал!$J$5:$J$16,$G19&amp;" "&amp;$D19&amp;" "&amp;$E19))+ISNUMBER(SEARCH(Ангилал!$K$5:$K$16,$G19&amp;" "&amp;$D19&amp;" "&amp;$E19))&gt;0,0),0)),"Ерөнхий нийт"))</f>
        <v/>
      </c>
      <c r="Q19" s="2"/>
      <c r="R19" s="2" t="str">
        <f aca="false">IF($G19="","",IF($Q19&lt;&gt;"",$Q19,$P19))</f>
        <v/>
      </c>
    </row>
    <row r="20" customFormat="false" ht="72" hidden="false" customHeight="true" outlineLevel="0" collapsed="false">
      <c r="A20" s="9" t="n">
        <v>11</v>
      </c>
      <c r="B20" s="10" t="s">
        <v>110</v>
      </c>
      <c r="C20" s="10" t="s">
        <v>111</v>
      </c>
      <c r="D20" s="11" t="s">
        <v>112</v>
      </c>
      <c r="E20" s="11" t="s">
        <v>113</v>
      </c>
      <c r="F20" s="10" t="s">
        <v>114</v>
      </c>
      <c r="G20" s="10" t="s">
        <v>115</v>
      </c>
      <c r="H20" s="10" t="s">
        <v>116</v>
      </c>
      <c r="I20" s="10" t="s">
        <v>117</v>
      </c>
      <c r="J20" s="10" t="s">
        <v>118</v>
      </c>
      <c r="K20" s="12" t="s">
        <v>119</v>
      </c>
      <c r="L20" s="10"/>
      <c r="M20" s="2" t="str">
        <f aca="false" t="array" ref="M20:M20">IF($G20="","",IFERROR(INDEX(Ангилал!$A$5:$A$22,MATCH(TRUE(),INDEX(ISNUMBER(SEARCH(Ангилал!$B$5:$B$22,$G20&amp;" "&amp;$D20))+ISNUMBER(SEARCH(Ангилал!$C$5:$C$22,$G20&amp;" "&amp;$D20))+IF(Ангилал!$D$5:$D$22="",0,ISNUMBER(SEARCH(Ангилал!$D$5:$D$22,$G20&amp;" "&amp;$D20)))+IF(Ангилал!$E$5:$E$22="",0,ISNUMBER(SEARCH(Ангилал!$E$5:$E$22,$G20&amp;" "&amp;$D20)))&gt;0,0),0)),"Бусад"))</f>
        <v>Бусад</v>
      </c>
      <c r="N20" s="2"/>
      <c r="O20" s="2" t="str">
        <f aca="false">IF($G20="","",IF($N20&lt;&gt;"",$N20,$M20))</f>
        <v>Бусад</v>
      </c>
      <c r="P20" s="2" t="str">
        <f aca="false" t="array" ref="P20:P20">IF($G20="","",IFERROR(INDEX(Ангилал!$G$5:$G$16,MATCH(TRUE(),INDEX(ISNUMBER(SEARCH(Ангилал!$H$5:$H$16,$G20&amp;" "&amp;$D20&amp;" "&amp;$E20))+ISNUMBER(SEARCH(Ангилал!$I$5:$I$16,$G20&amp;" "&amp;$D20&amp;" "&amp;$E20))+ISNUMBER(SEARCH(Ангилал!$J$5:$J$16,$G20&amp;" "&amp;$D20&amp;" "&amp;$E20))+ISNUMBER(SEARCH(Ангилал!$K$5:$K$16,$G20&amp;" "&amp;$D20&amp;" "&amp;$E20))&gt;0,0),0)),"Ерөнхий нийт"))</f>
        <v>Ерөнхий нийт</v>
      </c>
      <c r="Q20" s="2"/>
      <c r="R20" s="2" t="str">
        <f aca="false">IF($G20="","",IF($Q20&lt;&gt;"",$Q20,$P20))</f>
        <v>Ерөнхий нийт</v>
      </c>
    </row>
    <row r="21" customFormat="false" ht="72" hidden="false" customHeight="true" outlineLevel="0" collapsed="false">
      <c r="A21" s="9" t="n">
        <v>12</v>
      </c>
      <c r="B21" s="10" t="s">
        <v>120</v>
      </c>
      <c r="C21" s="10" t="s">
        <v>121</v>
      </c>
      <c r="D21" s="11" t="s">
        <v>122</v>
      </c>
      <c r="E21" s="11" t="s">
        <v>123</v>
      </c>
      <c r="F21" s="10" t="s">
        <v>124</v>
      </c>
      <c r="G21" s="10" t="s">
        <v>125</v>
      </c>
      <c r="H21" s="10" t="s">
        <v>126</v>
      </c>
      <c r="I21" s="10"/>
      <c r="J21" s="10" t="s">
        <v>127</v>
      </c>
      <c r="K21" s="12" t="s">
        <v>128</v>
      </c>
      <c r="L21" s="10"/>
      <c r="M21" s="2" t="str">
        <f aca="false" t="array" ref="M21:M21">IF($G21="","",IFERROR(INDEX(Ангилал!$A$5:$A$22,MATCH(TRUE(),INDEX(ISNUMBER(SEARCH(Ангилал!$B$5:$B$22,$G21&amp;" "&amp;$D21))+ISNUMBER(SEARCH(Ангилал!$C$5:$C$22,$G21&amp;" "&amp;$D21))+IF(Ангилал!$D$5:$D$22="",0,ISNUMBER(SEARCH(Ангилал!$D$5:$D$22,$G21&amp;" "&amp;$D21)))+IF(Ангилал!$E$5:$E$22="",0,ISNUMBER(SEARCH(Ангилал!$E$5:$E$22,$G21&amp;" "&amp;$D21)))&gt;0,0),0)),"Бусад"))</f>
        <v>Хүчирхийлэл, бэлгийн дарамтаас ангид байх</v>
      </c>
      <c r="N21" s="2"/>
      <c r="O21" s="2" t="str">
        <f aca="false">IF($G21="","",IF($N21&lt;&gt;"",$N21,$M21))</f>
        <v>Хүчирхийлэл, бэлгийн дарамтаас ангид байх</v>
      </c>
      <c r="P21" s="2" t="str">
        <f aca="false" t="array" ref="P21:P21">IF($G21="","",IFERROR(INDEX(Ангилал!$G$5:$G$16,MATCH(TRUE(),INDEX(ISNUMBER(SEARCH(Ангилал!$H$5:$H$16,$G21&amp;" "&amp;$D21&amp;" "&amp;$E21))+ISNUMBER(SEARCH(Ангилал!$I$5:$I$16,$G21&amp;" "&amp;$D21&amp;" "&amp;$E21))+ISNUMBER(SEARCH(Ангилал!$J$5:$J$16,$G21&amp;" "&amp;$D21&amp;" "&amp;$E21))+ISNUMBER(SEARCH(Ангилал!$K$5:$K$16,$G21&amp;" "&amp;$D21&amp;" "&amp;$E21))&gt;0,0),0)),"Ерөнхий нийт"))</f>
        <v>Ажилчид, хөдөлмөр эрхлэгчид</v>
      </c>
      <c r="Q21" s="2"/>
      <c r="R21" s="2" t="str">
        <f aca="false">IF($G21="","",IF($Q21&lt;&gt;"",$Q21,$P21))</f>
        <v>Ажилчид, хөдөлмөр эрхлэгчид</v>
      </c>
    </row>
    <row r="22" customFormat="false" ht="86.25" hidden="false" customHeight="true" outlineLevel="0" collapsed="false">
      <c r="A22" s="9" t="n">
        <v>13</v>
      </c>
      <c r="B22" s="10" t="s">
        <v>120</v>
      </c>
      <c r="C22" s="10" t="s">
        <v>129</v>
      </c>
      <c r="D22" s="11" t="s">
        <v>130</v>
      </c>
      <c r="E22" s="11" t="s">
        <v>131</v>
      </c>
      <c r="F22" s="10" t="s">
        <v>132</v>
      </c>
      <c r="G22" s="10" t="s">
        <v>133</v>
      </c>
      <c r="H22" s="10"/>
      <c r="I22" s="10" t="s">
        <v>134</v>
      </c>
      <c r="J22" s="10" t="s">
        <v>135</v>
      </c>
      <c r="K22" s="12" t="s">
        <v>136</v>
      </c>
      <c r="L22" s="10"/>
      <c r="M22" s="2" t="str">
        <f aca="false" t="array" ref="M22:M22">IF($G22="","",IFERROR(INDEX(Ангилал!$A$5:$A$22,MATCH(TRUE(),INDEX(ISNUMBER(SEARCH(Ангилал!$B$5:$B$22,$G22&amp;" "&amp;$D22))+ISNUMBER(SEARCH(Ангилал!$C$5:$C$22,$G22&amp;" "&amp;$D22))+IF(Ангилал!$D$5:$D$22="",0,ISNUMBER(SEARCH(Ангилал!$D$5:$D$22,$G22&amp;" "&amp;$D22)))+IF(Ангилал!$E$5:$E$22="",0,ISNUMBER(SEARCH(Ангилал!$E$5:$E$22,$G22&amp;" "&amp;$D22)))&gt;0,0),0)),"Бусад"))</f>
        <v>Эрүүдэн шүүлт, хүнлэг бус харьцаа</v>
      </c>
      <c r="N22" s="2"/>
      <c r="O22" s="2" t="str">
        <f aca="false">IF($G22="","",IF($N22&lt;&gt;"",$N22,$M22))</f>
        <v>Эрүүдэн шүүлт, хүнлэг бус харьцаа</v>
      </c>
      <c r="P22" s="2" t="str">
        <f aca="false" t="array" ref="P22:P22">IF($G22="","",IFERROR(INDEX(Ангилал!$G$5:$G$16,MATCH(TRUE(),INDEX(ISNUMBER(SEARCH(Ангилал!$H$5:$H$16,$G22&amp;" "&amp;$D22&amp;" "&amp;$E22))+ISNUMBER(SEARCH(Ангилал!$I$5:$I$16,$G22&amp;" "&amp;$D22&amp;" "&amp;$E22))+ISNUMBER(SEARCH(Ангилал!$J$5:$J$16,$G22&amp;" "&amp;$D22&amp;" "&amp;$E22))+ISNUMBER(SEARCH(Ангилал!$K$5:$K$16,$G22&amp;" "&amp;$D22&amp;" "&amp;$E22))&gt;0,0),0)),"Ерөнхий нийт"))</f>
        <v>Ерөнхий нийт</v>
      </c>
      <c r="Q22" s="2"/>
      <c r="R22" s="2" t="str">
        <f aca="false">IF($G22="","",IF($Q22&lt;&gt;"",$Q22,$P22))</f>
        <v>Ерөнхий нийт</v>
      </c>
    </row>
    <row r="23" customFormat="false" ht="159" hidden="false" customHeight="true" outlineLevel="0" collapsed="false">
      <c r="A23" s="9" t="n">
        <v>14</v>
      </c>
      <c r="B23" s="10" t="s">
        <v>137</v>
      </c>
      <c r="C23" s="10" t="s">
        <v>121</v>
      </c>
      <c r="D23" s="11" t="s">
        <v>138</v>
      </c>
      <c r="E23" s="11" t="s">
        <v>138</v>
      </c>
      <c r="F23" s="10" t="s">
        <v>139</v>
      </c>
      <c r="G23" s="10" t="s">
        <v>140</v>
      </c>
      <c r="H23" s="10" t="s">
        <v>141</v>
      </c>
      <c r="I23" s="10" t="s">
        <v>142</v>
      </c>
      <c r="J23" s="10" t="s">
        <v>143</v>
      </c>
      <c r="K23" s="12" t="s">
        <v>144</v>
      </c>
      <c r="L23" s="10"/>
      <c r="M23" s="2" t="str">
        <f aca="false" t="array" ref="M23:M23">IF($G23="","",IFERROR(INDEX(Ангилал!$A$5:$A$22,MATCH(TRUE(),INDEX(ISNUMBER(SEARCH(Ангилал!$B$5:$B$22,$G23&amp;" "&amp;$D23))+ISNUMBER(SEARCH(Ангилал!$C$5:$C$22,$G23&amp;" "&amp;$D23))+IF(Ангилал!$D$5:$D$22="",0,ISNUMBER(SEARCH(Ангилал!$D$5:$D$22,$G23&amp;" "&amp;$D23)))+IF(Ангилал!$E$5:$E$22="",0,ISNUMBER(SEARCH(Ангилал!$E$5:$E$22,$G23&amp;" "&amp;$D23)))&gt;0,0),0)),"Бусад"))</f>
        <v>Хүүхдийн эрх</v>
      </c>
      <c r="N23" s="2"/>
      <c r="O23" s="2" t="str">
        <f aca="false">IF($G23="","",IF($N23&lt;&gt;"",$N23,$M23))</f>
        <v>Хүүхдийн эрх</v>
      </c>
      <c r="P23" s="2" t="str">
        <f aca="false" t="array" ref="P23:P23">IF($G23="","",IFERROR(INDEX(Ангилал!$G$5:$G$16,MATCH(TRUE(),INDEX(ISNUMBER(SEARCH(Ангилал!$H$5:$H$16,$G23&amp;" "&amp;$D23&amp;" "&amp;$E23))+ISNUMBER(SEARCH(Ангилал!$I$5:$I$16,$G23&amp;" "&amp;$D23&amp;" "&amp;$E23))+ISNUMBER(SEARCH(Ангилал!$J$5:$J$16,$G23&amp;" "&amp;$D23&amp;" "&amp;$E23))+ISNUMBER(SEARCH(Ангилал!$K$5:$K$16,$G23&amp;" "&amp;$D23&amp;" "&amp;$E23))&gt;0,0),0)),"Ерөнхий нийт"))</f>
        <v>Хүүхэд</v>
      </c>
      <c r="Q23" s="2"/>
      <c r="R23" s="2" t="str">
        <f aca="false">IF($G23="","",IF($Q23&lt;&gt;"",$Q23,$P23))</f>
        <v>Хүүхэд</v>
      </c>
    </row>
    <row r="24" customFormat="false" ht="26.25" hidden="false" customHeight="true" outlineLevel="0" collapsed="false">
      <c r="A24" s="8" t="s">
        <v>145</v>
      </c>
      <c r="B24" s="8"/>
      <c r="C24" s="8"/>
      <c r="D24" s="8"/>
      <c r="E24" s="8"/>
      <c r="F24" s="8"/>
      <c r="G24" s="8"/>
      <c r="H24" s="8"/>
      <c r="I24" s="8"/>
      <c r="J24" s="8"/>
      <c r="K24" s="8"/>
      <c r="L24" s="8"/>
      <c r="M24" s="2" t="str">
        <f aca="false" t="array" ref="M24:M24">IF($G24="","",IFERROR(INDEX(Ангилал!$A$5:$A$22,MATCH(TRUE(),INDEX(ISNUMBER(SEARCH(Ангилал!$B$5:$B$22,$G24&amp;" "&amp;$D24))+ISNUMBER(SEARCH(Ангилал!$C$5:$C$22,$G24&amp;" "&amp;$D24))+IF(Ангилал!$D$5:$D$22="",0,ISNUMBER(SEARCH(Ангилал!$D$5:$D$22,$G24&amp;" "&amp;$D24)))+IF(Ангилал!$E$5:$E$22="",0,ISNUMBER(SEARCH(Ангилал!$E$5:$E$22,$G24&amp;" "&amp;$D24)))&gt;0,0),0)),"Бусад"))</f>
        <v/>
      </c>
      <c r="N24" s="2"/>
      <c r="O24" s="2" t="str">
        <f aca="false">IF($G24="","",IF($N24&lt;&gt;"",$N24,$M24))</f>
        <v/>
      </c>
      <c r="P24" s="2" t="str">
        <f aca="false" t="array" ref="P24:P24">IF($G24="","",IFERROR(INDEX(Ангилал!$G$5:$G$16,MATCH(TRUE(),INDEX(ISNUMBER(SEARCH(Ангилал!$H$5:$H$16,$G24&amp;" "&amp;$D24&amp;" "&amp;$E24))+ISNUMBER(SEARCH(Ангилал!$I$5:$I$16,$G24&amp;" "&amp;$D24&amp;" "&amp;$E24))+ISNUMBER(SEARCH(Ангилал!$J$5:$J$16,$G24&amp;" "&amp;$D24&amp;" "&amp;$E24))+ISNUMBER(SEARCH(Ангилал!$K$5:$K$16,$G24&amp;" "&amp;$D24&amp;" "&amp;$E24))&gt;0,0),0)),"Ерөнхий нийт"))</f>
        <v/>
      </c>
      <c r="Q24" s="2"/>
      <c r="R24" s="2" t="str">
        <f aca="false">IF($G24="","",IF($Q24&lt;&gt;"",$Q24,$P24))</f>
        <v/>
      </c>
    </row>
    <row r="25" customFormat="false" ht="43.5" hidden="false" customHeight="true" outlineLevel="0" collapsed="false">
      <c r="A25" s="9" t="n">
        <v>15</v>
      </c>
      <c r="B25" s="10" t="s">
        <v>146</v>
      </c>
      <c r="C25" s="10" t="s">
        <v>147</v>
      </c>
      <c r="D25" s="11" t="s">
        <v>148</v>
      </c>
      <c r="E25" s="11" t="s">
        <v>149</v>
      </c>
      <c r="F25" s="10" t="s">
        <v>118</v>
      </c>
      <c r="G25" s="10" t="s">
        <v>150</v>
      </c>
      <c r="H25" s="10" t="s">
        <v>151</v>
      </c>
      <c r="I25" s="10"/>
      <c r="J25" s="10" t="s">
        <v>118</v>
      </c>
      <c r="K25" s="12" t="s">
        <v>152</v>
      </c>
      <c r="L25" s="10"/>
      <c r="M25" s="2" t="str">
        <f aca="false" t="array" ref="M25:M25">IF($G25="","",IFERROR(INDEX(Ангилал!$A$5:$A$22,MATCH(TRUE(),INDEX(ISNUMBER(SEARCH(Ангилал!$B$5:$B$22,$G25&amp;" "&amp;$D25))+ISNUMBER(SEARCH(Ангилал!$C$5:$C$22,$G25&amp;" "&amp;$D25))+IF(Ангилал!$D$5:$D$22="",0,ISNUMBER(SEARCH(Ангилал!$D$5:$D$22,$G25&amp;" "&amp;$D25)))+IF(Ангилал!$E$5:$E$22="",0,ISNUMBER(SEARCH(Ангилал!$E$5:$E$22,$G25&amp;" "&amp;$D25)))&gt;0,0),0)),"Бусад"))</f>
        <v>Амьд явах, халдашгүй байх эрх</v>
      </c>
      <c r="N25" s="2"/>
      <c r="O25" s="2" t="str">
        <f aca="false">IF($G25="","",IF($N25&lt;&gt;"",$N25,$M25))</f>
        <v>Амьд явах, халдашгүй байх эрх</v>
      </c>
      <c r="P25" s="2" t="str">
        <f aca="false" t="array" ref="P25:P25">IF($G25="","",IFERROR(INDEX(Ангилал!$G$5:$G$16,MATCH(TRUE(),INDEX(ISNUMBER(SEARCH(Ангилал!$H$5:$H$16,$G25&amp;" "&amp;$D25&amp;" "&amp;$E25))+ISNUMBER(SEARCH(Ангилал!$I$5:$I$16,$G25&amp;" "&amp;$D25&amp;" "&amp;$E25))+ISNUMBER(SEARCH(Ангилал!$J$5:$J$16,$G25&amp;" "&amp;$D25&amp;" "&amp;$E25))+ISNUMBER(SEARCH(Ангилал!$K$5:$K$16,$G25&amp;" "&amp;$D25&amp;" "&amp;$E25))&gt;0,0),0)),"Ерөнхий нийт"))</f>
        <v>Ерөнхий нийт</v>
      </c>
      <c r="Q25" s="2"/>
      <c r="R25" s="2" t="str">
        <f aca="false">IF($G25="","",IF($Q25&lt;&gt;"",$Q25,$P25))</f>
        <v>Ерөнхий нийт</v>
      </c>
    </row>
    <row r="26" customFormat="false" ht="86.25" hidden="false" customHeight="true" outlineLevel="0" collapsed="false">
      <c r="A26" s="9" t="n">
        <v>16</v>
      </c>
      <c r="B26" s="10" t="s">
        <v>153</v>
      </c>
      <c r="C26" s="10" t="s">
        <v>154</v>
      </c>
      <c r="D26" s="11" t="s">
        <v>155</v>
      </c>
      <c r="E26" s="11" t="s">
        <v>156</v>
      </c>
      <c r="F26" s="10" t="s">
        <v>157</v>
      </c>
      <c r="G26" s="10" t="s">
        <v>158</v>
      </c>
      <c r="H26" s="10" t="s">
        <v>157</v>
      </c>
      <c r="I26" s="10"/>
      <c r="J26" s="10"/>
      <c r="K26" s="12" t="s">
        <v>159</v>
      </c>
      <c r="L26" s="10"/>
      <c r="M26" s="2" t="str">
        <f aca="false" t="array" ref="M26:M26">IF($G26="","",IFERROR(INDEX(Ангилал!$A$5:$A$22,MATCH(TRUE(),INDEX(ISNUMBER(SEARCH(Ангилал!$B$5:$B$22,$G26&amp;" "&amp;$D26))+ISNUMBER(SEARCH(Ангилал!$C$5:$C$22,$G26&amp;" "&amp;$D26))+IF(Ангилал!$D$5:$D$22="",0,ISNUMBER(SEARCH(Ангилал!$D$5:$D$22,$G26&amp;" "&amp;$D26)))+IF(Ангилал!$E$5:$E$22="",0,ISNUMBER(SEARCH(Ангилал!$E$5:$E$22,$G26&amp;" "&amp;$D26)))&gt;0,0),0)),"Бусад"))</f>
        <v>Шударга шүүхээр шүүлгэх эрх</v>
      </c>
      <c r="N26" s="2"/>
      <c r="O26" s="2" t="str">
        <f aca="false">IF($G26="","",IF($N26&lt;&gt;"",$N26,$M26))</f>
        <v>Шударга шүүхээр шүүлгэх эрх</v>
      </c>
      <c r="P26" s="2" t="str">
        <f aca="false" t="array" ref="P26:P26">IF($G26="","",IFERROR(INDEX(Ангилал!$G$5:$G$16,MATCH(TRUE(),INDEX(ISNUMBER(SEARCH(Ангилал!$H$5:$H$16,$G26&amp;" "&amp;$D26&amp;" "&amp;$E26))+ISNUMBER(SEARCH(Ангилал!$I$5:$I$16,$G26&amp;" "&amp;$D26&amp;" "&amp;$E26))+ISNUMBER(SEARCH(Ангилал!$J$5:$J$16,$G26&amp;" "&amp;$D26&amp;" "&amp;$E26))+ISNUMBER(SEARCH(Ангилал!$K$5:$K$16,$G26&amp;" "&amp;$D26&amp;" "&amp;$E26))&gt;0,0),0)),"Ерөнхий нийт"))</f>
        <v>Ерөнхий нийт</v>
      </c>
      <c r="Q26" s="2"/>
      <c r="R26" s="2" t="str">
        <f aca="false">IF($G26="","",IF($Q26&lt;&gt;"",$Q26,$P26))</f>
        <v>Ерөнхий нийт</v>
      </c>
    </row>
    <row r="27" customFormat="false" ht="57.75" hidden="false" customHeight="true" outlineLevel="0" collapsed="false">
      <c r="A27" s="9" t="n">
        <v>17</v>
      </c>
      <c r="B27" s="10" t="s">
        <v>146</v>
      </c>
      <c r="C27" s="10" t="s">
        <v>146</v>
      </c>
      <c r="D27" s="11" t="s">
        <v>160</v>
      </c>
      <c r="E27" s="11" t="s">
        <v>161</v>
      </c>
      <c r="F27" s="10" t="s">
        <v>162</v>
      </c>
      <c r="G27" s="10" t="s">
        <v>163</v>
      </c>
      <c r="H27" s="10" t="s">
        <v>164</v>
      </c>
      <c r="I27" s="10" t="s">
        <v>165</v>
      </c>
      <c r="J27" s="10" t="s">
        <v>166</v>
      </c>
      <c r="K27" s="12" t="s">
        <v>167</v>
      </c>
      <c r="L27" s="10"/>
      <c r="M27" s="2" t="str">
        <f aca="false" t="array" ref="M27:M27">IF($G27="","",IFERROR(INDEX(Ангилал!$A$5:$A$22,MATCH(TRUE(),INDEX(ISNUMBER(SEARCH(Ангилал!$B$5:$B$22,$G27&amp;" "&amp;$D27))+ISNUMBER(SEARCH(Ангилал!$C$5:$C$22,$G27&amp;" "&amp;$D27))+IF(Ангилал!$D$5:$D$22="",0,ISNUMBER(SEARCH(Ангилал!$D$5:$D$22,$G27&amp;" "&amp;$D27)))+IF(Ангилал!$E$5:$E$22="",0,ISNUMBER(SEARCH(Ангилал!$E$5:$E$22,$G27&amp;" "&amp;$D27)))&gt;0,0),0)),"Бусад"))</f>
        <v>Үзэл бодлоо илэрхийлэх, мэдээллийн эрх</v>
      </c>
      <c r="N27" s="2"/>
      <c r="O27" s="2" t="str">
        <f aca="false">IF($G27="","",IF($N27&lt;&gt;"",$N27,$M27))</f>
        <v>Үзэл бодлоо илэрхийлэх, мэдээллийн эрх</v>
      </c>
      <c r="P27" s="2" t="str">
        <f aca="false" t="array" ref="P27:P27">IF($G27="","",IFERROR(INDEX(Ангилал!$G$5:$G$16,MATCH(TRUE(),INDEX(ISNUMBER(SEARCH(Ангилал!$H$5:$H$16,$G27&amp;" "&amp;$D27&amp;" "&amp;$E27))+ISNUMBER(SEARCH(Ангилал!$I$5:$I$16,$G27&amp;" "&amp;$D27&amp;" "&amp;$E27))+ISNUMBER(SEARCH(Ангилал!$J$5:$J$16,$G27&amp;" "&amp;$D27&amp;" "&amp;$E27))+ISNUMBER(SEARCH(Ангилал!$K$5:$K$16,$G27&amp;" "&amp;$D27&amp;" "&amp;$E27))&gt;0,0),0)),"Ерөнхий нийт"))</f>
        <v>Сэтгүүлч, хүний эрхийн хамгаалагч</v>
      </c>
      <c r="Q27" s="2"/>
      <c r="R27" s="2" t="str">
        <f aca="false">IF($G27="","",IF($Q27&lt;&gt;"",$Q27,$P27))</f>
        <v>Сэтгүүлч, хүний эрхийн хамгаалагч</v>
      </c>
    </row>
    <row r="28" customFormat="false" ht="57.75" hidden="false" customHeight="true" outlineLevel="0" collapsed="false">
      <c r="A28" s="9" t="n">
        <v>18</v>
      </c>
      <c r="B28" s="10" t="s">
        <v>168</v>
      </c>
      <c r="C28" s="10" t="s">
        <v>168</v>
      </c>
      <c r="D28" s="11" t="s">
        <v>169</v>
      </c>
      <c r="E28" s="11" t="s">
        <v>170</v>
      </c>
      <c r="F28" s="10" t="s">
        <v>171</v>
      </c>
      <c r="G28" s="10" t="s">
        <v>172</v>
      </c>
      <c r="H28" s="10" t="s">
        <v>173</v>
      </c>
      <c r="I28" s="10" t="s">
        <v>174</v>
      </c>
      <c r="J28" s="10" t="s">
        <v>175</v>
      </c>
      <c r="K28" s="12" t="s">
        <v>176</v>
      </c>
      <c r="L28" s="10"/>
      <c r="M28" s="2" t="str">
        <f aca="false" t="array" ref="M28:M28">IF($G28="","",IFERROR(INDEX(Ангилал!$A$5:$A$22,MATCH(TRUE(),INDEX(ISNUMBER(SEARCH(Ангилал!$B$5:$B$22,$G28&amp;" "&amp;$D28))+ISNUMBER(SEARCH(Ангилал!$C$5:$C$22,$G28&amp;" "&amp;$D28))+IF(Ангилал!$D$5:$D$22="",0,ISNUMBER(SEARCH(Ангилал!$D$5:$D$22,$G28&amp;" "&amp;$D28)))+IF(Ангилал!$E$5:$E$22="",0,ISNUMBER(SEARCH(Ангилал!$E$5:$E$22,$G28&amp;" "&amp;$D28)))&gt;0,0),0)),"Бусад"))</f>
        <v>Амьд явах, халдашгүй байх эрх</v>
      </c>
      <c r="N28" s="2"/>
      <c r="O28" s="2" t="str">
        <f aca="false">IF($G28="","",IF($N28&lt;&gt;"",$N28,$M28))</f>
        <v>Амьд явах, халдашгүй байх эрх</v>
      </c>
      <c r="P28" s="2" t="str">
        <f aca="false" t="array" ref="P28:P28">IF($G28="","",IFERROR(INDEX(Ангилал!$G$5:$G$16,MATCH(TRUE(),INDEX(ISNUMBER(SEARCH(Ангилал!$H$5:$H$16,$G28&amp;" "&amp;$D28&amp;" "&amp;$E28))+ISNUMBER(SEARCH(Ангилал!$I$5:$I$16,$G28&amp;" "&amp;$D28&amp;" "&amp;$E28))+ISNUMBER(SEARCH(Ангилал!$J$5:$J$16,$G28&amp;" "&amp;$D28&amp;" "&amp;$E28))+ISNUMBER(SEARCH(Ангилал!$K$5:$K$16,$G28&amp;" "&amp;$D28&amp;" "&amp;$E28))&gt;0,0),0)),"Ерөнхий нийт"))</f>
        <v>Ерөнхий нийт</v>
      </c>
      <c r="Q28" s="2"/>
      <c r="R28" s="2" t="str">
        <f aca="false">IF($G28="","",IF($Q28&lt;&gt;"",$Q28,$P28))</f>
        <v>Ерөнхий нийт</v>
      </c>
    </row>
    <row r="29" customFormat="false" ht="57.75" hidden="false" customHeight="true" outlineLevel="0" collapsed="false">
      <c r="A29" s="9" t="n">
        <v>19</v>
      </c>
      <c r="B29" s="10" t="s">
        <v>177</v>
      </c>
      <c r="C29" s="10" t="s">
        <v>178</v>
      </c>
      <c r="D29" s="11" t="s">
        <v>179</v>
      </c>
      <c r="E29" s="11" t="s">
        <v>180</v>
      </c>
      <c r="F29" s="10" t="s">
        <v>181</v>
      </c>
      <c r="G29" s="10" t="s">
        <v>182</v>
      </c>
      <c r="H29" s="10" t="s">
        <v>183</v>
      </c>
      <c r="I29" s="10" t="s">
        <v>184</v>
      </c>
      <c r="J29" s="10" t="s">
        <v>185</v>
      </c>
      <c r="K29" s="12" t="s">
        <v>186</v>
      </c>
      <c r="L29" s="10"/>
      <c r="M29" s="2" t="str">
        <f aca="false" t="array" ref="M29:M29">IF($G29="","",IFERROR(INDEX(Ангилал!$A$5:$A$22,MATCH(TRUE(),INDEX(ISNUMBER(SEARCH(Ангилал!$B$5:$B$22,$G29&amp;" "&amp;$D29))+ISNUMBER(SEARCH(Ангилал!$C$5:$C$22,$G29&amp;" "&amp;$D29))+IF(Ангилал!$D$5:$D$22="",0,ISNUMBER(SEARCH(Ангилал!$D$5:$D$22,$G29&amp;" "&amp;$D29)))+IF(Ангилал!$E$5:$E$22="",0,ISNUMBER(SEARCH(Ангилал!$E$5:$E$22,$G29&amp;" "&amp;$D29)))&gt;0,0),0)),"Бусад"))</f>
        <v>Бусад</v>
      </c>
      <c r="N29" s="2"/>
      <c r="O29" s="2" t="str">
        <f aca="false">IF($G29="","",IF($N29&lt;&gt;"",$N29,$M29))</f>
        <v>Бусад</v>
      </c>
      <c r="P29" s="2" t="str">
        <f aca="false" t="array" ref="P29:P29">IF($G29="","",IFERROR(INDEX(Ангилал!$G$5:$G$16,MATCH(TRUE(),INDEX(ISNUMBER(SEARCH(Ангилал!$H$5:$H$16,$G29&amp;" "&amp;$D29&amp;" "&amp;$E29))+ISNUMBER(SEARCH(Ангилал!$I$5:$I$16,$G29&amp;" "&amp;$D29&amp;" "&amp;$E29))+ISNUMBER(SEARCH(Ангилал!$J$5:$J$16,$G29&amp;" "&amp;$D29&amp;" "&amp;$E29))+ISNUMBER(SEARCH(Ангилал!$K$5:$K$16,$G29&amp;" "&amp;$D29&amp;" "&amp;$E29))&gt;0,0),0)),"Ерөнхий нийт"))</f>
        <v>Ерөнхий нийт</v>
      </c>
      <c r="Q29" s="2"/>
      <c r="R29" s="2" t="str">
        <f aca="false">IF($G29="","",IF($Q29&lt;&gt;"",$Q29,$P29))</f>
        <v>Ерөнхий нийт</v>
      </c>
    </row>
    <row r="30" customFormat="false" ht="26.25" hidden="false" customHeight="true" outlineLevel="0" collapsed="false">
      <c r="A30" s="8" t="s">
        <v>187</v>
      </c>
      <c r="B30" s="8"/>
      <c r="C30" s="8"/>
      <c r="D30" s="8"/>
      <c r="E30" s="8"/>
      <c r="F30" s="8"/>
      <c r="G30" s="8"/>
      <c r="H30" s="8"/>
      <c r="I30" s="8"/>
      <c r="J30" s="8"/>
      <c r="K30" s="8"/>
      <c r="L30" s="8"/>
      <c r="M30" s="2" t="str">
        <f aca="false" t="array" ref="M30:M30">IF($G30="","",IFERROR(INDEX(Ангилал!$A$5:$A$22,MATCH(TRUE(),INDEX(ISNUMBER(SEARCH(Ангилал!$B$5:$B$22,$G30&amp;" "&amp;$D30))+ISNUMBER(SEARCH(Ангилал!$C$5:$C$22,$G30&amp;" "&amp;$D30))+IF(Ангилал!$D$5:$D$22="",0,ISNUMBER(SEARCH(Ангилал!$D$5:$D$22,$G30&amp;" "&amp;$D30)))+IF(Ангилал!$E$5:$E$22="",0,ISNUMBER(SEARCH(Ангилал!$E$5:$E$22,$G30&amp;" "&amp;$D30)))&gt;0,0),0)),"Бусад"))</f>
        <v/>
      </c>
      <c r="N30" s="2"/>
      <c r="O30" s="2" t="str">
        <f aca="false">IF($G30="","",IF($N30&lt;&gt;"",$N30,$M30))</f>
        <v/>
      </c>
      <c r="P30" s="2" t="str">
        <f aca="false" t="array" ref="P30:P30">IF($G30="","",IFERROR(INDEX(Ангилал!$G$5:$G$16,MATCH(TRUE(),INDEX(ISNUMBER(SEARCH(Ангилал!$H$5:$H$16,$G30&amp;" "&amp;$D30&amp;" "&amp;$E30))+ISNUMBER(SEARCH(Ангилал!$I$5:$I$16,$G30&amp;" "&amp;$D30&amp;" "&amp;$E30))+ISNUMBER(SEARCH(Ангилал!$J$5:$J$16,$G30&amp;" "&amp;$D30&amp;" "&amp;$E30))+ISNUMBER(SEARCH(Ангилал!$K$5:$K$16,$G30&amp;" "&amp;$D30&amp;" "&amp;$E30))&gt;0,0),0)),"Ерөнхий нийт"))</f>
        <v/>
      </c>
      <c r="Q30" s="2"/>
      <c r="R30" s="2" t="str">
        <f aca="false">IF($G30="","",IF($Q30&lt;&gt;"",$Q30,$P30))</f>
        <v/>
      </c>
    </row>
    <row r="31" customFormat="false" ht="57.75" hidden="false" customHeight="true" outlineLevel="0" collapsed="false">
      <c r="A31" s="9" t="n">
        <v>20</v>
      </c>
      <c r="B31" s="10" t="s">
        <v>188</v>
      </c>
      <c r="C31" s="10" t="s">
        <v>189</v>
      </c>
      <c r="D31" s="11" t="s">
        <v>190</v>
      </c>
      <c r="E31" s="11" t="s">
        <v>191</v>
      </c>
      <c r="F31" s="10" t="s">
        <v>192</v>
      </c>
      <c r="G31" s="10" t="s">
        <v>193</v>
      </c>
      <c r="H31" s="10" t="s">
        <v>194</v>
      </c>
      <c r="I31" s="10"/>
      <c r="J31" s="10" t="s">
        <v>143</v>
      </c>
      <c r="K31" s="12" t="s">
        <v>195</v>
      </c>
      <c r="L31" s="10"/>
      <c r="M31" s="2" t="str">
        <f aca="false" t="array" ref="M31:M31">IF($G31="","",IFERROR(INDEX(Ангилал!$A$5:$A$22,MATCH(TRUE(),INDEX(ISNUMBER(SEARCH(Ангилал!$B$5:$B$22,$G31&amp;" "&amp;$D31))+ISNUMBER(SEARCH(Ангилал!$C$5:$C$22,$G31&amp;" "&amp;$D31))+IF(Ангилал!$D$5:$D$22="",0,ISNUMBER(SEARCH(Ангилал!$D$5:$D$22,$G31&amp;" "&amp;$D31)))+IF(Ангилал!$E$5:$E$22="",0,ISNUMBER(SEARCH(Ангилал!$E$5:$E$22,$G31&amp;" "&amp;$D31)))&gt;0,0),0)),"Бусад"))</f>
        <v>Хүүхдийн эрх</v>
      </c>
      <c r="N31" s="2"/>
      <c r="O31" s="2" t="str">
        <f aca="false">IF($G31="","",IF($N31&lt;&gt;"",$N31,$M31))</f>
        <v>Хүүхдийн эрх</v>
      </c>
      <c r="P31" s="2" t="str">
        <f aca="false" t="array" ref="P31:P31">IF($G31="","",IFERROR(INDEX(Ангилал!$G$5:$G$16,MATCH(TRUE(),INDEX(ISNUMBER(SEARCH(Ангилал!$H$5:$H$16,$G31&amp;" "&amp;$D31&amp;" "&amp;$E31))+ISNUMBER(SEARCH(Ангилал!$I$5:$I$16,$G31&amp;" "&amp;$D31&amp;" "&amp;$E31))+ISNUMBER(SEARCH(Ангилал!$J$5:$J$16,$G31&amp;" "&amp;$D31&amp;" "&amp;$E31))+ISNUMBER(SEARCH(Ангилал!$K$5:$K$16,$G31&amp;" "&amp;$D31&amp;" "&amp;$E31))&gt;0,0),0)),"Ерөнхий нийт"))</f>
        <v>Хүүхэд</v>
      </c>
      <c r="Q31" s="2"/>
      <c r="R31" s="2" t="str">
        <f aca="false">IF($G31="","",IF($Q31&lt;&gt;"",$Q31,$P31))</f>
        <v>Хүүхэд</v>
      </c>
    </row>
    <row r="32" customFormat="false" ht="28.5" hidden="false" customHeight="true" outlineLevel="0" collapsed="false">
      <c r="A32" s="9" t="n">
        <v>21</v>
      </c>
      <c r="B32" s="10" t="s">
        <v>188</v>
      </c>
      <c r="C32" s="10" t="s">
        <v>196</v>
      </c>
      <c r="D32" s="11" t="s">
        <v>197</v>
      </c>
      <c r="E32" s="11"/>
      <c r="F32" s="10"/>
      <c r="G32" s="10"/>
      <c r="H32" s="10"/>
      <c r="I32" s="10"/>
      <c r="J32" s="10" t="s">
        <v>198</v>
      </c>
      <c r="K32" s="12" t="s">
        <v>199</v>
      </c>
      <c r="L32" s="10"/>
      <c r="M32" s="2" t="str">
        <f aca="false" t="array" ref="M32:M32">IF($G32="","",IFERROR(INDEX(Ангилал!$A$5:$A$22,MATCH(TRUE(),INDEX(ISNUMBER(SEARCH(Ангилал!$B$5:$B$22,$G32&amp;" "&amp;$D32))+ISNUMBER(SEARCH(Ангилал!$C$5:$C$22,$G32&amp;" "&amp;$D32))+IF(Ангилал!$D$5:$D$22="",0,ISNUMBER(SEARCH(Ангилал!$D$5:$D$22,$G32&amp;" "&amp;$D32)))+IF(Ангилал!$E$5:$E$22="",0,ISNUMBER(SEARCH(Ангилал!$E$5:$E$22,$G32&amp;" "&amp;$D32)))&gt;0,0),0)),"Бусад"))</f>
        <v/>
      </c>
      <c r="N32" s="2"/>
      <c r="O32" s="2" t="str">
        <f aca="false">IF($G32="","",IF($N32&lt;&gt;"",$N32,$M32))</f>
        <v/>
      </c>
      <c r="P32" s="2" t="str">
        <f aca="false" t="array" ref="P32:P32">IF($G32="","",IFERROR(INDEX(Ангилал!$G$5:$G$16,MATCH(TRUE(),INDEX(ISNUMBER(SEARCH(Ангилал!$H$5:$H$16,$G32&amp;" "&amp;$D32&amp;" "&amp;$E32))+ISNUMBER(SEARCH(Ангилал!$I$5:$I$16,$G32&amp;" "&amp;$D32&amp;" "&amp;$E32))+ISNUMBER(SEARCH(Ангилал!$J$5:$J$16,$G32&amp;" "&amp;$D32&amp;" "&amp;$E32))+ISNUMBER(SEARCH(Ангилал!$K$5:$K$16,$G32&amp;" "&amp;$D32&amp;" "&amp;$E32))&gt;0,0),0)),"Ерөнхий нийт"))</f>
        <v/>
      </c>
      <c r="Q32" s="2"/>
      <c r="R32" s="2" t="str">
        <f aca="false">IF($G32="","",IF($Q32&lt;&gt;"",$Q32,$P32))</f>
        <v/>
      </c>
    </row>
    <row r="33" customFormat="false" ht="43.5" hidden="false" customHeight="true" outlineLevel="0" collapsed="false">
      <c r="A33" s="9" t="n">
        <v>22</v>
      </c>
      <c r="B33" s="10" t="s">
        <v>188</v>
      </c>
      <c r="C33" s="10" t="s">
        <v>196</v>
      </c>
      <c r="D33" s="11" t="s">
        <v>200</v>
      </c>
      <c r="E33" s="11" t="s">
        <v>201</v>
      </c>
      <c r="F33" s="10" t="s">
        <v>202</v>
      </c>
      <c r="G33" s="10"/>
      <c r="H33" s="10" t="s">
        <v>203</v>
      </c>
      <c r="I33" s="10"/>
      <c r="J33" s="10" t="s">
        <v>198</v>
      </c>
      <c r="K33" s="12" t="s">
        <v>204</v>
      </c>
      <c r="L33" s="10"/>
      <c r="M33" s="2" t="str">
        <f aca="false" t="array" ref="M33:M33">IF($G33="","",IFERROR(INDEX(Ангилал!$A$5:$A$22,MATCH(TRUE(),INDEX(ISNUMBER(SEARCH(Ангилал!$B$5:$B$22,$G33&amp;" "&amp;$D33))+ISNUMBER(SEARCH(Ангилал!$C$5:$C$22,$G33&amp;" "&amp;$D33))+IF(Ангилал!$D$5:$D$22="",0,ISNUMBER(SEARCH(Ангилал!$D$5:$D$22,$G33&amp;" "&amp;$D33)))+IF(Ангилал!$E$5:$E$22="",0,ISNUMBER(SEARCH(Ангилал!$E$5:$E$22,$G33&amp;" "&amp;$D33)))&gt;0,0),0)),"Бусад"))</f>
        <v/>
      </c>
      <c r="N33" s="2"/>
      <c r="O33" s="2" t="str">
        <f aca="false">IF($G33="","",IF($N33&lt;&gt;"",$N33,$M33))</f>
        <v/>
      </c>
      <c r="P33" s="2" t="str">
        <f aca="false" t="array" ref="P33:P33">IF($G33="","",IFERROR(INDEX(Ангилал!$G$5:$G$16,MATCH(TRUE(),INDEX(ISNUMBER(SEARCH(Ангилал!$H$5:$H$16,$G33&amp;" "&amp;$D33&amp;" "&amp;$E33))+ISNUMBER(SEARCH(Ангилал!$I$5:$I$16,$G33&amp;" "&amp;$D33&amp;" "&amp;$E33))+ISNUMBER(SEARCH(Ангилал!$J$5:$J$16,$G33&amp;" "&amp;$D33&amp;" "&amp;$E33))+ISNUMBER(SEARCH(Ангилал!$K$5:$K$16,$G33&amp;" "&amp;$D33&amp;" "&amp;$E33))&gt;0,0),0)),"Ерөнхий нийт"))</f>
        <v/>
      </c>
      <c r="Q33" s="2"/>
      <c r="R33" s="2" t="str">
        <f aca="false">IF($G33="","",IF($Q33&lt;&gt;"",$Q33,$P33))</f>
        <v/>
      </c>
    </row>
    <row r="34" customFormat="false" ht="57.75" hidden="false" customHeight="true" outlineLevel="0" collapsed="false">
      <c r="A34" s="9" t="n">
        <v>23</v>
      </c>
      <c r="B34" s="10" t="s">
        <v>205</v>
      </c>
      <c r="C34" s="10" t="s">
        <v>206</v>
      </c>
      <c r="D34" s="11" t="s">
        <v>207</v>
      </c>
      <c r="E34" s="11" t="s">
        <v>207</v>
      </c>
      <c r="F34" s="10" t="s">
        <v>208</v>
      </c>
      <c r="G34" s="10" t="s">
        <v>209</v>
      </c>
      <c r="H34" s="10"/>
      <c r="I34" s="10"/>
      <c r="J34" s="10" t="s">
        <v>143</v>
      </c>
      <c r="K34" s="12" t="s">
        <v>210</v>
      </c>
      <c r="L34" s="10"/>
      <c r="M34" s="2" t="str">
        <f aca="false" t="array" ref="M34:M34">IF($G34="","",IFERROR(INDEX(Ангилал!$A$5:$A$22,MATCH(TRUE(),INDEX(ISNUMBER(SEARCH(Ангилал!$B$5:$B$22,$G34&amp;" "&amp;$D34))+ISNUMBER(SEARCH(Ангилал!$C$5:$C$22,$G34&amp;" "&amp;$D34))+IF(Ангилал!$D$5:$D$22="",0,ISNUMBER(SEARCH(Ангилал!$D$5:$D$22,$G34&amp;" "&amp;$D34)))+IF(Ангилал!$E$5:$E$22="",0,ISNUMBER(SEARCH(Ангилал!$E$5:$E$22,$G34&amp;" "&amp;$D34)))&gt;0,0),0)),"Бусад"))</f>
        <v>Амьд явах, халдашгүй байх эрх</v>
      </c>
      <c r="N34" s="2"/>
      <c r="O34" s="2" t="str">
        <f aca="false">IF($G34="","",IF($N34&lt;&gt;"",$N34,$M34))</f>
        <v>Амьд явах, халдашгүй байх эрх</v>
      </c>
      <c r="P34" s="2" t="str">
        <f aca="false" t="array" ref="P34:P34">IF($G34="","",IFERROR(INDEX(Ангилал!$G$5:$G$16,MATCH(TRUE(),INDEX(ISNUMBER(SEARCH(Ангилал!$H$5:$H$16,$G34&amp;" "&amp;$D34&amp;" "&amp;$E34))+ISNUMBER(SEARCH(Ангилал!$I$5:$I$16,$G34&amp;" "&amp;$D34&amp;" "&amp;$E34))+ISNUMBER(SEARCH(Ангилал!$J$5:$J$16,$G34&amp;" "&amp;$D34&amp;" "&amp;$E34))+ISNUMBER(SEARCH(Ангилал!$K$5:$K$16,$G34&amp;" "&amp;$D34&amp;" "&amp;$E34))&gt;0,0),0)),"Ерөнхий нийт"))</f>
        <v>Хөгжлийн бэрхшээлтэй иргэд</v>
      </c>
      <c r="Q34" s="2"/>
      <c r="R34" s="2" t="str">
        <f aca="false">IF($G34="","",IF($Q34&lt;&gt;"",$Q34,$P34))</f>
        <v>Хөгжлийн бэрхшээлтэй иргэд</v>
      </c>
    </row>
    <row r="35" customFormat="false" ht="72" hidden="false" customHeight="true" outlineLevel="0" collapsed="false">
      <c r="A35" s="9" t="n">
        <v>24</v>
      </c>
      <c r="B35" s="10" t="s">
        <v>205</v>
      </c>
      <c r="C35" s="10" t="s">
        <v>206</v>
      </c>
      <c r="D35" s="11" t="s">
        <v>211</v>
      </c>
      <c r="E35" s="11" t="s">
        <v>212</v>
      </c>
      <c r="F35" s="10" t="s">
        <v>213</v>
      </c>
      <c r="G35" s="10" t="s">
        <v>214</v>
      </c>
      <c r="H35" s="10"/>
      <c r="I35" s="10"/>
      <c r="J35" s="10" t="s">
        <v>143</v>
      </c>
      <c r="K35" s="12" t="s">
        <v>215</v>
      </c>
      <c r="L35" s="10"/>
      <c r="M35" s="2" t="str">
        <f aca="false" t="array" ref="M35:M35">IF($G35="","",IFERROR(INDEX(Ангилал!$A$5:$A$22,MATCH(TRUE(),INDEX(ISNUMBER(SEARCH(Ангилал!$B$5:$B$22,$G35&amp;" "&amp;$D35))+ISNUMBER(SEARCH(Ангилал!$C$5:$C$22,$G35&amp;" "&amp;$D35))+IF(Ангилал!$D$5:$D$22="",0,ISNUMBER(SEARCH(Ангилал!$D$5:$D$22,$G35&amp;" "&amp;$D35)))+IF(Ангилал!$E$5:$E$22="",0,ISNUMBER(SEARCH(Ангилал!$E$5:$E$22,$G35&amp;" "&amp;$D35)))&gt;0,0),0)),"Бусад"))</f>
        <v>Амьд явах, халдашгүй байх эрх</v>
      </c>
      <c r="N35" s="2"/>
      <c r="O35" s="2" t="str">
        <f aca="false">IF($G35="","",IF($N35&lt;&gt;"",$N35,$M35))</f>
        <v>Амьд явах, халдашгүй байх эрх</v>
      </c>
      <c r="P35" s="2" t="str">
        <f aca="false" t="array" ref="P35:P35">IF($G35="","",IFERROR(INDEX(Ангилал!$G$5:$G$16,MATCH(TRUE(),INDEX(ISNUMBER(SEARCH(Ангилал!$H$5:$H$16,$G35&amp;" "&amp;$D35&amp;" "&amp;$E35))+ISNUMBER(SEARCH(Ангилал!$I$5:$I$16,$G35&amp;" "&amp;$D35&amp;" "&amp;$E35))+ISNUMBER(SEARCH(Ангилал!$J$5:$J$16,$G35&amp;" "&amp;$D35&amp;" "&amp;$E35))+ISNUMBER(SEARCH(Ангилал!$K$5:$K$16,$G35&amp;" "&amp;$D35&amp;" "&amp;$E35))&gt;0,0),0)),"Ерөнхий нийт"))</f>
        <v>Ерөнхий нийт</v>
      </c>
      <c r="Q35" s="2"/>
      <c r="R35" s="2" t="str">
        <f aca="false">IF($G35="","",IF($Q35&lt;&gt;"",$Q35,$P35))</f>
        <v>Ерөнхий нийт</v>
      </c>
    </row>
    <row r="36" customFormat="false" ht="26.25" hidden="false" customHeight="true" outlineLevel="0" collapsed="false">
      <c r="A36" s="8" t="s">
        <v>216</v>
      </c>
      <c r="B36" s="8"/>
      <c r="C36" s="8"/>
      <c r="D36" s="8"/>
      <c r="E36" s="8"/>
      <c r="F36" s="8"/>
      <c r="G36" s="8"/>
      <c r="H36" s="8"/>
      <c r="I36" s="8"/>
      <c r="J36" s="8"/>
      <c r="K36" s="8"/>
      <c r="L36" s="8"/>
      <c r="M36" s="2" t="str">
        <f aca="false" t="array" ref="M36:M36">IF($G36="","",IFERROR(INDEX(Ангилал!$A$5:$A$22,MATCH(TRUE(),INDEX(ISNUMBER(SEARCH(Ангилал!$B$5:$B$22,$G36&amp;" "&amp;$D36))+ISNUMBER(SEARCH(Ангилал!$C$5:$C$22,$G36&amp;" "&amp;$D36))+IF(Ангилал!$D$5:$D$22="",0,ISNUMBER(SEARCH(Ангилал!$D$5:$D$22,$G36&amp;" "&amp;$D36)))+IF(Ангилал!$E$5:$E$22="",0,ISNUMBER(SEARCH(Ангилал!$E$5:$E$22,$G36&amp;" "&amp;$D36)))&gt;0,0),0)),"Бусад"))</f>
        <v/>
      </c>
      <c r="N36" s="2"/>
      <c r="O36" s="2" t="str">
        <f aca="false">IF($G36="","",IF($N36&lt;&gt;"",$N36,$M36))</f>
        <v/>
      </c>
      <c r="P36" s="2" t="str">
        <f aca="false" t="array" ref="P36:P36">IF($G36="","",IFERROR(INDEX(Ангилал!$G$5:$G$16,MATCH(TRUE(),INDEX(ISNUMBER(SEARCH(Ангилал!$H$5:$H$16,$G36&amp;" "&amp;$D36&amp;" "&amp;$E36))+ISNUMBER(SEARCH(Ангилал!$I$5:$I$16,$G36&amp;" "&amp;$D36&amp;" "&amp;$E36))+ISNUMBER(SEARCH(Ангилал!$J$5:$J$16,$G36&amp;" "&amp;$D36&amp;" "&amp;$E36))+ISNUMBER(SEARCH(Ангилал!$K$5:$K$16,$G36&amp;" "&amp;$D36&amp;" "&amp;$E36))&gt;0,0),0)),"Ерөнхий нийт"))</f>
        <v/>
      </c>
      <c r="Q36" s="2"/>
      <c r="R36" s="2" t="str">
        <f aca="false">IF($G36="","",IF($Q36&lt;&gt;"",$Q36,$P36))</f>
        <v/>
      </c>
    </row>
    <row r="37" customFormat="false" ht="101.25" hidden="false" customHeight="true" outlineLevel="0" collapsed="false">
      <c r="A37" s="9" t="n">
        <v>25</v>
      </c>
      <c r="B37" s="10" t="s">
        <v>217</v>
      </c>
      <c r="C37" s="10"/>
      <c r="D37" s="11" t="s">
        <v>218</v>
      </c>
      <c r="E37" s="11" t="s">
        <v>219</v>
      </c>
      <c r="F37" s="10" t="s">
        <v>213</v>
      </c>
      <c r="G37" s="10" t="s">
        <v>220</v>
      </c>
      <c r="H37" s="10"/>
      <c r="I37" s="10"/>
      <c r="J37" s="10" t="s">
        <v>198</v>
      </c>
      <c r="K37" s="12" t="s">
        <v>221</v>
      </c>
      <c r="L37" s="10"/>
      <c r="M37" s="2" t="str">
        <f aca="false" t="array" ref="M37:M37">IF($G37="","",IFERROR(INDEX(Ангилал!$A$5:$A$22,MATCH(TRUE(),INDEX(ISNUMBER(SEARCH(Ангилал!$B$5:$B$22,$G37&amp;" "&amp;$D37))+ISNUMBER(SEARCH(Ангилал!$C$5:$C$22,$G37&amp;" "&amp;$D37))+IF(Ангилал!$D$5:$D$22="",0,ISNUMBER(SEARCH(Ангилал!$D$5:$D$22,$G37&amp;" "&amp;$D37)))+IF(Ангилал!$E$5:$E$22="",0,ISNUMBER(SEARCH(Ангилал!$E$5:$E$22,$G37&amp;" "&amp;$D37)))&gt;0,0),0)),"Бусад"))</f>
        <v>Хүүхдийн эрх</v>
      </c>
      <c r="N37" s="2"/>
      <c r="O37" s="2" t="str">
        <f aca="false">IF($G37="","",IF($N37&lt;&gt;"",$N37,$M37))</f>
        <v>Хүүхдийн эрх</v>
      </c>
      <c r="P37" s="2" t="str">
        <f aca="false" t="array" ref="P37:P37">IF($G37="","",IFERROR(INDEX(Ангилал!$G$5:$G$16,MATCH(TRUE(),INDEX(ISNUMBER(SEARCH(Ангилал!$H$5:$H$16,$G37&amp;" "&amp;$D37&amp;" "&amp;$E37))+ISNUMBER(SEARCH(Ангилал!$I$5:$I$16,$G37&amp;" "&amp;$D37&amp;" "&amp;$E37))+ISNUMBER(SEARCH(Ангилал!$J$5:$J$16,$G37&amp;" "&amp;$D37&amp;" "&amp;$E37))+ISNUMBER(SEARCH(Ангилал!$K$5:$K$16,$G37&amp;" "&amp;$D37&amp;" "&amp;$E37))&gt;0,0),0)),"Ерөнхий нийт"))</f>
        <v>Хүүхэд</v>
      </c>
      <c r="Q37" s="2"/>
      <c r="R37" s="2" t="str">
        <f aca="false">IF($G37="","",IF($Q37&lt;&gt;"",$Q37,$P37))</f>
        <v>Хүүхэд</v>
      </c>
    </row>
    <row r="38" customFormat="false" ht="333" hidden="false" customHeight="true" outlineLevel="0" collapsed="false">
      <c r="A38" s="9" t="n">
        <v>26</v>
      </c>
      <c r="B38" s="10" t="s">
        <v>217</v>
      </c>
      <c r="C38" s="10"/>
      <c r="D38" s="11" t="s">
        <v>222</v>
      </c>
      <c r="E38" s="11" t="s">
        <v>223</v>
      </c>
      <c r="F38" s="10" t="s">
        <v>224</v>
      </c>
      <c r="G38" s="10" t="s">
        <v>225</v>
      </c>
      <c r="H38" s="10" t="s">
        <v>226</v>
      </c>
      <c r="I38" s="10"/>
      <c r="J38" s="10" t="s">
        <v>198</v>
      </c>
      <c r="K38" s="12" t="s">
        <v>227</v>
      </c>
      <c r="L38" s="10"/>
      <c r="M38" s="2" t="str">
        <f aca="false" t="array" ref="M38:M38">IF($G38="","",IFERROR(INDEX(Ангилал!$A$5:$A$22,MATCH(TRUE(),INDEX(ISNUMBER(SEARCH(Ангилал!$B$5:$B$22,$G38&amp;" "&amp;$D38))+ISNUMBER(SEARCH(Ангилал!$C$5:$C$22,$G38&amp;" "&amp;$D38))+IF(Ангилал!$D$5:$D$22="",0,ISNUMBER(SEARCH(Ангилал!$D$5:$D$22,$G38&amp;" "&amp;$D38)))+IF(Ангилал!$E$5:$E$22="",0,ISNUMBER(SEARCH(Ангилал!$E$5:$E$22,$G38&amp;" "&amp;$D38)))&gt;0,0),0)),"Бусад"))</f>
        <v>Эрүүдэн шүүлт, хүнлэг бус харьцаа</v>
      </c>
      <c r="N38" s="2"/>
      <c r="O38" s="2" t="str">
        <f aca="false">IF($G38="","",IF($N38&lt;&gt;"",$N38,$M38))</f>
        <v>Эрүүдэн шүүлт, хүнлэг бус харьцаа</v>
      </c>
      <c r="P38" s="2" t="str">
        <f aca="false" t="array" ref="P38:P38">IF($G38="","",IFERROR(INDEX(Ангилал!$G$5:$G$16,MATCH(TRUE(),INDEX(ISNUMBER(SEARCH(Ангилал!$H$5:$H$16,$G38&amp;" "&amp;$D38&amp;" "&amp;$E38))+ISNUMBER(SEARCH(Ангилал!$I$5:$I$16,$G38&amp;" "&amp;$D38&amp;" "&amp;$E38))+ISNUMBER(SEARCH(Ангилал!$J$5:$J$16,$G38&amp;" "&amp;$D38&amp;" "&amp;$E38))+ISNUMBER(SEARCH(Ангилал!$K$5:$K$16,$G38&amp;" "&amp;$D38&amp;" "&amp;$E38))&gt;0,0),0)),"Ерөнхий нийт"))</f>
        <v>Хүүхэд</v>
      </c>
      <c r="Q38" s="2"/>
      <c r="R38" s="2" t="str">
        <f aca="false">IF($G38="","",IF($Q38&lt;&gt;"",$Q38,$P38))</f>
        <v>Хүүхэд</v>
      </c>
    </row>
    <row r="39" customFormat="false" ht="115.5" hidden="false" customHeight="true" outlineLevel="0" collapsed="false">
      <c r="A39" s="9" t="n">
        <v>27</v>
      </c>
      <c r="B39" s="10" t="s">
        <v>228</v>
      </c>
      <c r="C39" s="9" t="n">
        <v>2024</v>
      </c>
      <c r="D39" s="11" t="s">
        <v>229</v>
      </c>
      <c r="E39" s="11" t="s">
        <v>230</v>
      </c>
      <c r="F39" s="10" t="s">
        <v>231</v>
      </c>
      <c r="G39" s="10"/>
      <c r="H39" s="10" t="s">
        <v>232</v>
      </c>
      <c r="I39" s="10" t="s">
        <v>233</v>
      </c>
      <c r="J39" s="10" t="s">
        <v>234</v>
      </c>
      <c r="K39" s="12" t="s">
        <v>235</v>
      </c>
      <c r="L39" s="10"/>
      <c r="M39" s="2" t="str">
        <f aca="false" t="array" ref="M39:M39">IF($G39="","",IFERROR(INDEX(Ангилал!$A$5:$A$22,MATCH(TRUE(),INDEX(ISNUMBER(SEARCH(Ангилал!$B$5:$B$22,$G39&amp;" "&amp;$D39))+ISNUMBER(SEARCH(Ангилал!$C$5:$C$22,$G39&amp;" "&amp;$D39))+IF(Ангилал!$D$5:$D$22="",0,ISNUMBER(SEARCH(Ангилал!$D$5:$D$22,$G39&amp;" "&amp;$D39)))+IF(Ангилал!$E$5:$E$22="",0,ISNUMBER(SEARCH(Ангилал!$E$5:$E$22,$G39&amp;" "&amp;$D39)))&gt;0,0),0)),"Бусад"))</f>
        <v/>
      </c>
      <c r="N39" s="2"/>
      <c r="O39" s="2" t="str">
        <f aca="false">IF($G39="","",IF($N39&lt;&gt;"",$N39,$M39))</f>
        <v/>
      </c>
      <c r="P39" s="2" t="str">
        <f aca="false" t="array" ref="P39:P39">IF($G39="","",IFERROR(INDEX(Ангилал!$G$5:$G$16,MATCH(TRUE(),INDEX(ISNUMBER(SEARCH(Ангилал!$H$5:$H$16,$G39&amp;" "&amp;$D39&amp;" "&amp;$E39))+ISNUMBER(SEARCH(Ангилал!$I$5:$I$16,$G39&amp;" "&amp;$D39&amp;" "&amp;$E39))+ISNUMBER(SEARCH(Ангилал!$J$5:$J$16,$G39&amp;" "&amp;$D39&amp;" "&amp;$E39))+ISNUMBER(SEARCH(Ангилал!$K$5:$K$16,$G39&amp;" "&amp;$D39&amp;" "&amp;$E39))&gt;0,0),0)),"Ерөнхий нийт"))</f>
        <v/>
      </c>
      <c r="Q39" s="2"/>
      <c r="R39" s="2" t="str">
        <f aca="false">IF($G39="","",IF($Q39&lt;&gt;"",$Q39,$P39))</f>
        <v/>
      </c>
    </row>
    <row r="40" customFormat="false" ht="86.25" hidden="false" customHeight="true" outlineLevel="0" collapsed="false">
      <c r="A40" s="9" t="n">
        <v>28</v>
      </c>
      <c r="B40" s="10" t="s">
        <v>236</v>
      </c>
      <c r="C40" s="10" t="s">
        <v>237</v>
      </c>
      <c r="D40" s="11" t="s">
        <v>238</v>
      </c>
      <c r="E40" s="11" t="s">
        <v>239</v>
      </c>
      <c r="F40" s="10" t="s">
        <v>240</v>
      </c>
      <c r="G40" s="10" t="s">
        <v>241</v>
      </c>
      <c r="H40" s="10" t="s">
        <v>242</v>
      </c>
      <c r="I40" s="10" t="s">
        <v>243</v>
      </c>
      <c r="J40" s="10" t="s">
        <v>244</v>
      </c>
      <c r="K40" s="12" t="s">
        <v>245</v>
      </c>
      <c r="L40" s="10"/>
      <c r="M40" s="2" t="str">
        <f aca="false" t="array" ref="M40:M40">IF($G40="","",IFERROR(INDEX(Ангилал!$A$5:$A$22,MATCH(TRUE(),INDEX(ISNUMBER(SEARCH(Ангилал!$B$5:$B$22,$G40&amp;" "&amp;$D40))+ISNUMBER(SEARCH(Ангилал!$C$5:$C$22,$G40&amp;" "&amp;$D40))+IF(Ангилал!$D$5:$D$22="",0,ISNUMBER(SEARCH(Ангилал!$D$5:$D$22,$G40&amp;" "&amp;$D40)))+IF(Ангилал!$E$5:$E$22="",0,ISNUMBER(SEARCH(Ангилал!$E$5:$E$22,$G40&amp;" "&amp;$D40)))&gt;0,0),0)),"Бусад"))</f>
        <v>Хүүхдийн эрх</v>
      </c>
      <c r="N40" s="2"/>
      <c r="O40" s="2" t="str">
        <f aca="false">IF($G40="","",IF($N40&lt;&gt;"",$N40,$M40))</f>
        <v>Хүүхдийн эрх</v>
      </c>
      <c r="P40" s="2" t="str">
        <f aca="false" t="array" ref="P40:P40">IF($G40="","",IFERROR(INDEX(Ангилал!$G$5:$G$16,MATCH(TRUE(),INDEX(ISNUMBER(SEARCH(Ангилал!$H$5:$H$16,$G40&amp;" "&amp;$D40&amp;" "&amp;$E40))+ISNUMBER(SEARCH(Ангилал!$I$5:$I$16,$G40&amp;" "&amp;$D40&amp;" "&amp;$E40))+ISNUMBER(SEARCH(Ангилал!$J$5:$J$16,$G40&amp;" "&amp;$D40&amp;" "&amp;$E40))+ISNUMBER(SEARCH(Ангилал!$K$5:$K$16,$G40&amp;" "&amp;$D40&amp;" "&amp;$E40))&gt;0,0),0)),"Ерөнхий нийт"))</f>
        <v>Хүүхэд</v>
      </c>
      <c r="Q40" s="2"/>
      <c r="R40" s="2" t="str">
        <f aca="false">IF($G40="","",IF($Q40&lt;&gt;"",$Q40,$P40))</f>
        <v>Хүүхэд</v>
      </c>
    </row>
    <row r="41" customFormat="false" ht="115.5" hidden="false" customHeight="true" outlineLevel="0" collapsed="false">
      <c r="A41" s="9" t="n">
        <v>29</v>
      </c>
      <c r="B41" s="10" t="s">
        <v>236</v>
      </c>
      <c r="C41" s="10" t="s">
        <v>246</v>
      </c>
      <c r="D41" s="11" t="s">
        <v>247</v>
      </c>
      <c r="E41" s="11" t="s">
        <v>248</v>
      </c>
      <c r="F41" s="10" t="s">
        <v>249</v>
      </c>
      <c r="G41" s="10" t="s">
        <v>250</v>
      </c>
      <c r="H41" s="10" t="s">
        <v>251</v>
      </c>
      <c r="I41" s="10" t="s">
        <v>252</v>
      </c>
      <c r="J41" s="10" t="s">
        <v>244</v>
      </c>
      <c r="K41" s="12" t="s">
        <v>253</v>
      </c>
      <c r="L41" s="10"/>
      <c r="M41" s="2" t="str">
        <f aca="false" t="array" ref="M41:M41">IF($G41="","",IFERROR(INDEX(Ангилал!$A$5:$A$22,MATCH(TRUE(),INDEX(ISNUMBER(SEARCH(Ангилал!$B$5:$B$22,$G41&amp;" "&amp;$D41))+ISNUMBER(SEARCH(Ангилал!$C$5:$C$22,$G41&amp;" "&amp;$D41))+IF(Ангилал!$D$5:$D$22="",0,ISNUMBER(SEARCH(Ангилал!$D$5:$D$22,$G41&amp;" "&amp;$D41)))+IF(Ангилал!$E$5:$E$22="",0,ISNUMBER(SEARCH(Ангилал!$E$5:$E$22,$G41&amp;" "&amp;$D41)))&gt;0,0),0)),"Бусад"))</f>
        <v>Хүүхдийн эрх</v>
      </c>
      <c r="N41" s="2"/>
      <c r="O41" s="2" t="str">
        <f aca="false">IF($G41="","",IF($N41&lt;&gt;"",$N41,$M41))</f>
        <v>Хүүхдийн эрх</v>
      </c>
      <c r="P41" s="2" t="str">
        <f aca="false" t="array" ref="P41:P41">IF($G41="","",IFERROR(INDEX(Ангилал!$G$5:$G$16,MATCH(TRUE(),INDEX(ISNUMBER(SEARCH(Ангилал!$H$5:$H$16,$G41&amp;" "&amp;$D41&amp;" "&amp;$E41))+ISNUMBER(SEARCH(Ангилал!$I$5:$I$16,$G41&amp;" "&amp;$D41&amp;" "&amp;$E41))+ISNUMBER(SEARCH(Ангилал!$J$5:$J$16,$G41&amp;" "&amp;$D41&amp;" "&amp;$E41))+ISNUMBER(SEARCH(Ангилал!$K$5:$K$16,$G41&amp;" "&amp;$D41&amp;" "&amp;$E41))&gt;0,0),0)),"Ерөнхий нийт"))</f>
        <v>Хүүхэд</v>
      </c>
      <c r="Q41" s="2"/>
      <c r="R41" s="2" t="str">
        <f aca="false">IF($G41="","",IF($Q41&lt;&gt;"",$Q41,$P41))</f>
        <v>Хүүхэд</v>
      </c>
    </row>
    <row r="42" customFormat="false" ht="101.25" hidden="false" customHeight="true" outlineLevel="0" collapsed="false">
      <c r="A42" s="9" t="n">
        <v>30</v>
      </c>
      <c r="B42" s="10" t="s">
        <v>254</v>
      </c>
      <c r="C42" s="10"/>
      <c r="D42" s="11" t="s">
        <v>255</v>
      </c>
      <c r="E42" s="11" t="s">
        <v>255</v>
      </c>
      <c r="F42" s="10"/>
      <c r="G42" s="10" t="s">
        <v>250</v>
      </c>
      <c r="H42" s="10" t="s">
        <v>256</v>
      </c>
      <c r="I42" s="10"/>
      <c r="J42" s="10" t="s">
        <v>198</v>
      </c>
      <c r="K42" s="12" t="s">
        <v>257</v>
      </c>
      <c r="L42" s="10"/>
      <c r="M42" s="2" t="str">
        <f aca="false" t="array" ref="M42:M42">IF($G42="","",IFERROR(INDEX(Ангилал!$A$5:$A$22,MATCH(TRUE(),INDEX(ISNUMBER(SEARCH(Ангилал!$B$5:$B$22,$G42&amp;" "&amp;$D42))+ISNUMBER(SEARCH(Ангилал!$C$5:$C$22,$G42&amp;" "&amp;$D42))+IF(Ангилал!$D$5:$D$22="",0,ISNUMBER(SEARCH(Ангилал!$D$5:$D$22,$G42&amp;" "&amp;$D42)))+IF(Ангилал!$E$5:$E$22="",0,ISNUMBER(SEARCH(Ангилал!$E$5:$E$22,$G42&amp;" "&amp;$D42)))&gt;0,0),0)),"Бусад"))</f>
        <v>Хүүхдийн эрх</v>
      </c>
      <c r="N42" s="2"/>
      <c r="O42" s="2" t="str">
        <f aca="false">IF($G42="","",IF($N42&lt;&gt;"",$N42,$M42))</f>
        <v>Хүүхдийн эрх</v>
      </c>
      <c r="P42" s="2" t="str">
        <f aca="false" t="array" ref="P42:P42">IF($G42="","",IFERROR(INDEX(Ангилал!$G$5:$G$16,MATCH(TRUE(),INDEX(ISNUMBER(SEARCH(Ангилал!$H$5:$H$16,$G42&amp;" "&amp;$D42&amp;" "&amp;$E42))+ISNUMBER(SEARCH(Ангилал!$I$5:$I$16,$G42&amp;" "&amp;$D42&amp;" "&amp;$E42))+ISNUMBER(SEARCH(Ангилал!$J$5:$J$16,$G42&amp;" "&amp;$D42&amp;" "&amp;$E42))+ISNUMBER(SEARCH(Ангилал!$K$5:$K$16,$G42&amp;" "&amp;$D42&amp;" "&amp;$E42))&gt;0,0),0)),"Ерөнхий нийт"))</f>
        <v>Хүүхэд</v>
      </c>
      <c r="Q42" s="2"/>
      <c r="R42" s="2" t="str">
        <f aca="false">IF($G42="","",IF($Q42&lt;&gt;"",$Q42,$P42))</f>
        <v>Хүүхэд</v>
      </c>
    </row>
    <row r="43" customFormat="false" ht="405" hidden="false" customHeight="true" outlineLevel="0" collapsed="false">
      <c r="A43" s="9" t="n">
        <v>31</v>
      </c>
      <c r="B43" s="10" t="s">
        <v>254</v>
      </c>
      <c r="C43" s="10"/>
      <c r="D43" s="11" t="s">
        <v>258</v>
      </c>
      <c r="E43" s="11"/>
      <c r="F43" s="10" t="s">
        <v>259</v>
      </c>
      <c r="G43" s="10" t="s">
        <v>260</v>
      </c>
      <c r="H43" s="10" t="s">
        <v>261</v>
      </c>
      <c r="I43" s="10"/>
      <c r="J43" s="10" t="s">
        <v>262</v>
      </c>
      <c r="K43" s="12" t="s">
        <v>263</v>
      </c>
      <c r="L43" s="10"/>
      <c r="M43" s="2" t="str">
        <f aca="false" t="array" ref="M43:M43">IF($G43="","",IFERROR(INDEX(Ангилал!$A$5:$A$22,MATCH(TRUE(),INDEX(ISNUMBER(SEARCH(Ангилал!$B$5:$B$22,$G43&amp;" "&amp;$D43))+ISNUMBER(SEARCH(Ангилал!$C$5:$C$22,$G43&amp;" "&amp;$D43))+IF(Ангилал!$D$5:$D$22="",0,ISNUMBER(SEARCH(Ангилал!$D$5:$D$22,$G43&amp;" "&amp;$D43)))+IF(Ангилал!$E$5:$E$22="",0,ISNUMBER(SEARCH(Ангилал!$E$5:$E$22,$G43&amp;" "&amp;$D43)))&gt;0,0),0)),"Бусад"))</f>
        <v>Эрүүдэн шүүлт, хүнлэг бус харьцаа</v>
      </c>
      <c r="N43" s="2"/>
      <c r="O43" s="2" t="str">
        <f aca="false">IF($G43="","",IF($N43&lt;&gt;"",$N43,$M43))</f>
        <v>Эрүүдэн шүүлт, хүнлэг бус харьцаа</v>
      </c>
      <c r="P43" s="2" t="str">
        <f aca="false" t="array" ref="P43:P43">IF($G43="","",IFERROR(INDEX(Ангилал!$G$5:$G$16,MATCH(TRUE(),INDEX(ISNUMBER(SEARCH(Ангилал!$H$5:$H$16,$G43&amp;" "&amp;$D43&amp;" "&amp;$E43))+ISNUMBER(SEARCH(Ангилал!$I$5:$I$16,$G43&amp;" "&amp;$D43&amp;" "&amp;$E43))+ISNUMBER(SEARCH(Ангилал!$J$5:$J$16,$G43&amp;" "&amp;$D43&amp;" "&amp;$E43))+ISNUMBER(SEARCH(Ангилал!$K$5:$K$16,$G43&amp;" "&amp;$D43&amp;" "&amp;$E43))&gt;0,0),0)),"Ерөнхий нийт"))</f>
        <v>Эмэгтэйчүүд</v>
      </c>
      <c r="Q43" s="2"/>
      <c r="R43" s="2" t="str">
        <f aca="false">IF($G43="","",IF($Q43&lt;&gt;"",$Q43,$P43))</f>
        <v>Эмэгтэйчүүд</v>
      </c>
    </row>
    <row r="44" customFormat="false" ht="231" hidden="false" customHeight="true" outlineLevel="0" collapsed="false">
      <c r="A44" s="9" t="n">
        <v>32</v>
      </c>
      <c r="B44" s="10" t="s">
        <v>254</v>
      </c>
      <c r="C44" s="10" t="s">
        <v>264</v>
      </c>
      <c r="D44" s="11" t="s">
        <v>265</v>
      </c>
      <c r="E44" s="11" t="s">
        <v>266</v>
      </c>
      <c r="F44" s="10"/>
      <c r="G44" s="10" t="s">
        <v>267</v>
      </c>
      <c r="H44" s="10"/>
      <c r="I44" s="10"/>
      <c r="J44" s="10" t="s">
        <v>198</v>
      </c>
      <c r="K44" s="12" t="s">
        <v>268</v>
      </c>
      <c r="L44" s="10"/>
      <c r="M44" s="2" t="str">
        <f aca="false" t="array" ref="M44:M44">IF($G44="","",IFERROR(INDEX(Ангилал!$A$5:$A$22,MATCH(TRUE(),INDEX(ISNUMBER(SEARCH(Ангилал!$B$5:$B$22,$G44&amp;" "&amp;$D44))+ISNUMBER(SEARCH(Ангилал!$C$5:$C$22,$G44&amp;" "&amp;$D44))+IF(Ангилал!$D$5:$D$22="",0,ISNUMBER(SEARCH(Ангилал!$D$5:$D$22,$G44&amp;" "&amp;$D44)))+IF(Ангилал!$E$5:$E$22="",0,ISNUMBER(SEARCH(Ангилал!$E$5:$E$22,$G44&amp;" "&amp;$D44)))&gt;0,0),0)),"Бусад"))</f>
        <v>Хүүхдийн эрх</v>
      </c>
      <c r="N44" s="2"/>
      <c r="O44" s="2" t="str">
        <f aca="false">IF($G44="","",IF($N44&lt;&gt;"",$N44,$M44))</f>
        <v>Хүүхдийн эрх</v>
      </c>
      <c r="P44" s="2" t="str">
        <f aca="false" t="array" ref="P44:P44">IF($G44="","",IFERROR(INDEX(Ангилал!$G$5:$G$16,MATCH(TRUE(),INDEX(ISNUMBER(SEARCH(Ангилал!$H$5:$H$16,$G44&amp;" "&amp;$D44&amp;" "&amp;$E44))+ISNUMBER(SEARCH(Ангилал!$I$5:$I$16,$G44&amp;" "&amp;$D44&amp;" "&amp;$E44))+ISNUMBER(SEARCH(Ангилал!$J$5:$J$16,$G44&amp;" "&amp;$D44&amp;" "&amp;$E44))+ISNUMBER(SEARCH(Ангилал!$K$5:$K$16,$G44&amp;" "&amp;$D44&amp;" "&amp;$E44))&gt;0,0),0)),"Ерөнхий нийт"))</f>
        <v>Хүүхэд</v>
      </c>
      <c r="Q44" s="2"/>
      <c r="R44" s="2" t="str">
        <f aca="false">IF($G44="","",IF($Q44&lt;&gt;"",$Q44,$P44))</f>
        <v>Хүүхэд</v>
      </c>
    </row>
    <row r="45" customFormat="false" ht="101.25" hidden="false" customHeight="true" outlineLevel="0" collapsed="false">
      <c r="A45" s="9" t="n">
        <v>33</v>
      </c>
      <c r="B45" s="10" t="s">
        <v>269</v>
      </c>
      <c r="C45" s="10"/>
      <c r="D45" s="11" t="s">
        <v>270</v>
      </c>
      <c r="E45" s="11" t="s">
        <v>271</v>
      </c>
      <c r="F45" s="10" t="s">
        <v>272</v>
      </c>
      <c r="G45" s="10" t="s">
        <v>225</v>
      </c>
      <c r="H45" s="10" t="s">
        <v>273</v>
      </c>
      <c r="I45" s="10"/>
      <c r="J45" s="10" t="s">
        <v>274</v>
      </c>
      <c r="K45" s="12" t="s">
        <v>275</v>
      </c>
      <c r="L45" s="10"/>
      <c r="M45" s="2" t="str">
        <f aca="false" t="array" ref="M45:M45">IF($G45="","",IFERROR(INDEX(Ангилал!$A$5:$A$22,MATCH(TRUE(),INDEX(ISNUMBER(SEARCH(Ангилал!$B$5:$B$22,$G45&amp;" "&amp;$D45))+ISNUMBER(SEARCH(Ангилал!$C$5:$C$22,$G45&amp;" "&amp;$D45))+IF(Ангилал!$D$5:$D$22="",0,ISNUMBER(SEARCH(Ангилал!$D$5:$D$22,$G45&amp;" "&amp;$D45)))+IF(Ангилал!$E$5:$E$22="",0,ISNUMBER(SEARCH(Ангилал!$E$5:$E$22,$G45&amp;" "&amp;$D45)))&gt;0,0),0)),"Бусад"))</f>
        <v>Эрүүдэн шүүлт, хүнлэг бус харьцаа</v>
      </c>
      <c r="N45" s="2"/>
      <c r="O45" s="2" t="str">
        <f aca="false">IF($G45="","",IF($N45&lt;&gt;"",$N45,$M45))</f>
        <v>Эрүүдэн шүүлт, хүнлэг бус харьцаа</v>
      </c>
      <c r="P45" s="2" t="str">
        <f aca="false" t="array" ref="P45:P45">IF($G45="","",IFERROR(INDEX(Ангилал!$G$5:$G$16,MATCH(TRUE(),INDEX(ISNUMBER(SEARCH(Ангилал!$H$5:$H$16,$G45&amp;" "&amp;$D45&amp;" "&amp;$E45))+ISNUMBER(SEARCH(Ангилал!$I$5:$I$16,$G45&amp;" "&amp;$D45&amp;" "&amp;$E45))+ISNUMBER(SEARCH(Ангилал!$J$5:$J$16,$G45&amp;" "&amp;$D45&amp;" "&amp;$E45))+ISNUMBER(SEARCH(Ангилал!$K$5:$K$16,$G45&amp;" "&amp;$D45&amp;" "&amp;$E45))&gt;0,0),0)),"Ерөнхий нийт"))</f>
        <v>Ерөнхий нийт</v>
      </c>
      <c r="Q45" s="2"/>
      <c r="R45" s="2" t="str">
        <f aca="false">IF($G45="","",IF($Q45&lt;&gt;"",$Q45,$P45))</f>
        <v>Ерөнхий нийт</v>
      </c>
    </row>
    <row r="46" customFormat="false" ht="144" hidden="false" customHeight="true" outlineLevel="0" collapsed="false">
      <c r="A46" s="9" t="n">
        <v>34</v>
      </c>
      <c r="B46" s="10" t="s">
        <v>269</v>
      </c>
      <c r="C46" s="10"/>
      <c r="D46" s="11" t="s">
        <v>276</v>
      </c>
      <c r="E46" s="11" t="s">
        <v>277</v>
      </c>
      <c r="F46" s="10" t="s">
        <v>278</v>
      </c>
      <c r="G46" s="10" t="s">
        <v>279</v>
      </c>
      <c r="H46" s="10" t="s">
        <v>280</v>
      </c>
      <c r="I46" s="10"/>
      <c r="J46" s="10" t="s">
        <v>262</v>
      </c>
      <c r="K46" s="12" t="s">
        <v>281</v>
      </c>
      <c r="L46" s="10"/>
      <c r="M46" s="2" t="str">
        <f aca="false" t="array" ref="M46:M46">IF($G46="","",IFERROR(INDEX(Ангилал!$A$5:$A$22,MATCH(TRUE(),INDEX(ISNUMBER(SEARCH(Ангилал!$B$5:$B$22,$G46&amp;" "&amp;$D46))+ISNUMBER(SEARCH(Ангилал!$C$5:$C$22,$G46&amp;" "&amp;$D46))+IF(Ангилал!$D$5:$D$22="",0,ISNUMBER(SEARCH(Ангилал!$D$5:$D$22,$G46&amp;" "&amp;$D46)))+IF(Ангилал!$E$5:$E$22="",0,ISNUMBER(SEARCH(Ангилал!$E$5:$E$22,$G46&amp;" "&amp;$D46)))&gt;0,0),0)),"Бусад"))</f>
        <v>Хүүхдийн эрх</v>
      </c>
      <c r="N46" s="2"/>
      <c r="O46" s="2" t="str">
        <f aca="false">IF($G46="","",IF($N46&lt;&gt;"",$N46,$M46))</f>
        <v>Хүүхдийн эрх</v>
      </c>
      <c r="P46" s="2" t="str">
        <f aca="false" t="array" ref="P46:P46">IF($G46="","",IFERROR(INDEX(Ангилал!$G$5:$G$16,MATCH(TRUE(),INDEX(ISNUMBER(SEARCH(Ангилал!$H$5:$H$16,$G46&amp;" "&amp;$D46&amp;" "&amp;$E46))+ISNUMBER(SEARCH(Ангилал!$I$5:$I$16,$G46&amp;" "&amp;$D46&amp;" "&amp;$E46))+ISNUMBER(SEARCH(Ангилал!$J$5:$J$16,$G46&amp;" "&amp;$D46&amp;" "&amp;$E46))+ISNUMBER(SEARCH(Ангилал!$K$5:$K$16,$G46&amp;" "&amp;$D46&amp;" "&amp;$E46))&gt;0,0),0)),"Ерөнхий нийт"))</f>
        <v>Хүүхэд</v>
      </c>
      <c r="Q46" s="2"/>
      <c r="R46" s="2" t="str">
        <f aca="false">IF($G46="","",IF($Q46&lt;&gt;"",$Q46,$P46))</f>
        <v>Хүүхэд</v>
      </c>
    </row>
    <row r="47" customFormat="false" ht="26.25" hidden="false" customHeight="true" outlineLevel="0" collapsed="false">
      <c r="A47" s="8" t="s">
        <v>282</v>
      </c>
      <c r="B47" s="8"/>
      <c r="C47" s="8"/>
      <c r="D47" s="8"/>
      <c r="E47" s="8"/>
      <c r="F47" s="8"/>
      <c r="G47" s="8"/>
      <c r="H47" s="8"/>
      <c r="I47" s="8"/>
      <c r="J47" s="8"/>
      <c r="K47" s="8"/>
      <c r="L47" s="8"/>
      <c r="M47" s="2" t="str">
        <f aca="false" t="array" ref="M47:M47">IF($G47="","",IFERROR(INDEX(Ангилал!$A$5:$A$22,MATCH(TRUE(),INDEX(ISNUMBER(SEARCH(Ангилал!$B$5:$B$22,$G47&amp;" "&amp;$D47))+ISNUMBER(SEARCH(Ангилал!$C$5:$C$22,$G47&amp;" "&amp;$D47))+IF(Ангилал!$D$5:$D$22="",0,ISNUMBER(SEARCH(Ангилал!$D$5:$D$22,$G47&amp;" "&amp;$D47)))+IF(Ангилал!$E$5:$E$22="",0,ISNUMBER(SEARCH(Ангилал!$E$5:$E$22,$G47&amp;" "&amp;$D47)))&gt;0,0),0)),"Бусад"))</f>
        <v/>
      </c>
      <c r="N47" s="2"/>
      <c r="O47" s="2" t="str">
        <f aca="false">IF($G47="","",IF($N47&lt;&gt;"",$N47,$M47))</f>
        <v/>
      </c>
      <c r="P47" s="2" t="str">
        <f aca="false" t="array" ref="P47:P47">IF($G47="","",IFERROR(INDEX(Ангилал!$G$5:$G$16,MATCH(TRUE(),INDEX(ISNUMBER(SEARCH(Ангилал!$H$5:$H$16,$G47&amp;" "&amp;$D47&amp;" "&amp;$E47))+ISNUMBER(SEARCH(Ангилал!$I$5:$I$16,$G47&amp;" "&amp;$D47&amp;" "&amp;$E47))+ISNUMBER(SEARCH(Ангилал!$J$5:$J$16,$G47&amp;" "&amp;$D47&amp;" "&amp;$E47))+ISNUMBER(SEARCH(Ангилал!$K$5:$K$16,$G47&amp;" "&amp;$D47&amp;" "&amp;$E47))&gt;0,0),0)),"Ерөнхий нийт"))</f>
        <v/>
      </c>
      <c r="Q47" s="2"/>
      <c r="R47" s="2" t="str">
        <f aca="false">IF($G47="","",IF($Q47&lt;&gt;"",$Q47,$P47))</f>
        <v/>
      </c>
    </row>
    <row r="48" customFormat="false" ht="57.75" hidden="false" customHeight="true" outlineLevel="0" collapsed="false">
      <c r="A48" s="9" t="n">
        <v>35</v>
      </c>
      <c r="B48" s="10" t="s">
        <v>283</v>
      </c>
      <c r="C48" s="10"/>
      <c r="D48" s="11" t="s">
        <v>284</v>
      </c>
      <c r="E48" s="11" t="s">
        <v>285</v>
      </c>
      <c r="F48" s="10" t="s">
        <v>3</v>
      </c>
      <c r="G48" s="10" t="s">
        <v>286</v>
      </c>
      <c r="H48" s="10"/>
      <c r="I48" s="10"/>
      <c r="J48" s="10" t="s">
        <v>287</v>
      </c>
      <c r="K48" s="12" t="s">
        <v>288</v>
      </c>
      <c r="L48" s="10"/>
      <c r="M48" s="2" t="str">
        <f aca="false" t="array" ref="M48:M48">IF($G48="","",IFERROR(INDEX(Ангилал!$A$5:$A$22,MATCH(TRUE(),INDEX(ISNUMBER(SEARCH(Ангилал!$B$5:$B$22,$G48&amp;" "&amp;$D48))+ISNUMBER(SEARCH(Ангилал!$C$5:$C$22,$G48&amp;" "&amp;$D48))+IF(Ангилал!$D$5:$D$22="",0,ISNUMBER(SEARCH(Ангилал!$D$5:$D$22,$G48&amp;" "&amp;$D48)))+IF(Ангилал!$E$5:$E$22="",0,ISNUMBER(SEARCH(Ангилал!$E$5:$E$22,$G48&amp;" "&amp;$D48)))&gt;0,0),0)),"Бусад"))</f>
        <v>Эрүүдэн шүүлт, хүнлэг бус харьцаа</v>
      </c>
      <c r="N48" s="2"/>
      <c r="O48" s="2" t="str">
        <f aca="false">IF($G48="","",IF($N48&lt;&gt;"",$N48,$M48))</f>
        <v>Эрүүдэн шүүлт, хүнлэг бус харьцаа</v>
      </c>
      <c r="P48" s="2" t="str">
        <f aca="false" t="array" ref="P48:P48">IF($G48="","",IFERROR(INDEX(Ангилал!$G$5:$G$16,MATCH(TRUE(),INDEX(ISNUMBER(SEARCH(Ангилал!$H$5:$H$16,$G48&amp;" "&amp;$D48&amp;" "&amp;$E48))+ISNUMBER(SEARCH(Ангилал!$I$5:$I$16,$G48&amp;" "&amp;$D48&amp;" "&amp;$E48))+ISNUMBER(SEARCH(Ангилал!$J$5:$J$16,$G48&amp;" "&amp;$D48&amp;" "&amp;$E48))+ISNUMBER(SEARCH(Ангилал!$K$5:$K$16,$G48&amp;" "&amp;$D48&amp;" "&amp;$E48))&gt;0,0),0)),"Ерөнхий нийт"))</f>
        <v>Ерөнхий нийт</v>
      </c>
      <c r="Q48" s="2"/>
      <c r="R48" s="2" t="str">
        <f aca="false">IF($G48="","",IF($Q48&lt;&gt;"",$Q48,$P48))</f>
        <v>Ерөнхий нийт</v>
      </c>
    </row>
    <row r="49" customFormat="false" ht="57.75" hidden="false" customHeight="true" outlineLevel="0" collapsed="false">
      <c r="A49" s="9" t="n">
        <v>36</v>
      </c>
      <c r="B49" s="10" t="s">
        <v>289</v>
      </c>
      <c r="C49" s="10" t="s">
        <v>290</v>
      </c>
      <c r="D49" s="11" t="s">
        <v>291</v>
      </c>
      <c r="E49" s="11" t="s">
        <v>292</v>
      </c>
      <c r="F49" s="10" t="s">
        <v>293</v>
      </c>
      <c r="G49" s="10" t="s">
        <v>294</v>
      </c>
      <c r="H49" s="10"/>
      <c r="I49" s="10" t="s">
        <v>295</v>
      </c>
      <c r="J49" s="10" t="s">
        <v>296</v>
      </c>
      <c r="K49" s="12" t="s">
        <v>297</v>
      </c>
      <c r="L49" s="10"/>
      <c r="M49" s="2" t="str">
        <f aca="false" t="array" ref="M49:M49">IF($G49="","",IFERROR(INDEX(Ангилал!$A$5:$A$22,MATCH(TRUE(),INDEX(ISNUMBER(SEARCH(Ангилал!$B$5:$B$22,$G49&amp;" "&amp;$D49))+ISNUMBER(SEARCH(Ангилал!$C$5:$C$22,$G49&amp;" "&amp;$D49))+IF(Ангилал!$D$5:$D$22="",0,ISNUMBER(SEARCH(Ангилал!$D$5:$D$22,$G49&amp;" "&amp;$D49)))+IF(Ангилал!$E$5:$E$22="",0,ISNUMBER(SEARCH(Ангилал!$E$5:$E$22,$G49&amp;" "&amp;$D49)))&gt;0,0),0)),"Бусад"))</f>
        <v>Хүүхдийн эрх</v>
      </c>
      <c r="N49" s="2"/>
      <c r="O49" s="2" t="str">
        <f aca="false">IF($G49="","",IF($N49&lt;&gt;"",$N49,$M49))</f>
        <v>Хүүхдийн эрх</v>
      </c>
      <c r="P49" s="2" t="str">
        <f aca="false" t="array" ref="P49:P49">IF($G49="","",IFERROR(INDEX(Ангилал!$G$5:$G$16,MATCH(TRUE(),INDEX(ISNUMBER(SEARCH(Ангилал!$H$5:$H$16,$G49&amp;" "&amp;$D49&amp;" "&amp;$E49))+ISNUMBER(SEARCH(Ангилал!$I$5:$I$16,$G49&amp;" "&amp;$D49&amp;" "&amp;$E49))+ISNUMBER(SEARCH(Ангилал!$J$5:$J$16,$G49&amp;" "&amp;$D49&amp;" "&amp;$E49))+ISNUMBER(SEARCH(Ангилал!$K$5:$K$16,$G49&amp;" "&amp;$D49&amp;" "&amp;$E49))&gt;0,0),0)),"Ерөнхий нийт"))</f>
        <v>Хүүхэд</v>
      </c>
      <c r="Q49" s="2"/>
      <c r="R49" s="2" t="str">
        <f aca="false">IF($G49="","",IF($Q49&lt;&gt;"",$Q49,$P49))</f>
        <v>Хүүхэд</v>
      </c>
    </row>
    <row r="50" customFormat="false" ht="159" hidden="false" customHeight="true" outlineLevel="0" collapsed="false">
      <c r="A50" s="9" t="n">
        <v>37</v>
      </c>
      <c r="B50" s="10" t="s">
        <v>298</v>
      </c>
      <c r="C50" s="10" t="s">
        <v>299</v>
      </c>
      <c r="D50" s="11" t="s">
        <v>300</v>
      </c>
      <c r="E50" s="11" t="s">
        <v>301</v>
      </c>
      <c r="F50" s="10" t="s">
        <v>302</v>
      </c>
      <c r="G50" s="10" t="s">
        <v>303</v>
      </c>
      <c r="H50" s="10" t="s">
        <v>304</v>
      </c>
      <c r="I50" s="10" t="s">
        <v>305</v>
      </c>
      <c r="J50" s="10" t="s">
        <v>306</v>
      </c>
      <c r="K50" s="12" t="s">
        <v>307</v>
      </c>
      <c r="L50" s="10"/>
      <c r="M50" s="2" t="str">
        <f aca="false" t="array" ref="M50:M50">IF($G50="","",IFERROR(INDEX(Ангилал!$A$5:$A$22,MATCH(TRUE(),INDEX(ISNUMBER(SEARCH(Ангилал!$B$5:$B$22,$G50&amp;" "&amp;$D50))+ISNUMBER(SEARCH(Ангилал!$C$5:$C$22,$G50&amp;" "&amp;$D50))+IF(Ангилал!$D$5:$D$22="",0,ISNUMBER(SEARCH(Ангилал!$D$5:$D$22,$G50&amp;" "&amp;$D50)))+IF(Ангилал!$E$5:$E$22="",0,ISNUMBER(SEARCH(Ангилал!$E$5:$E$22,$G50&amp;" "&amp;$D50)))&gt;0,0),0)),"Бусад"))</f>
        <v>Хүүхдийн эрх</v>
      </c>
      <c r="N50" s="2"/>
      <c r="O50" s="2" t="str">
        <f aca="false">IF($G50="","",IF($N50&lt;&gt;"",$N50,$M50))</f>
        <v>Хүүхдийн эрх</v>
      </c>
      <c r="P50" s="2" t="str">
        <f aca="false" t="array" ref="P50:P50">IF($G50="","",IFERROR(INDEX(Ангилал!$G$5:$G$16,MATCH(TRUE(),INDEX(ISNUMBER(SEARCH(Ангилал!$H$5:$H$16,$G50&amp;" "&amp;$D50&amp;" "&amp;$E50))+ISNUMBER(SEARCH(Ангилал!$I$5:$I$16,$G50&amp;" "&amp;$D50&amp;" "&amp;$E50))+ISNUMBER(SEARCH(Ангилал!$J$5:$J$16,$G50&amp;" "&amp;$D50&amp;" "&amp;$E50))+ISNUMBER(SEARCH(Ангилал!$K$5:$K$16,$G50&amp;" "&amp;$D50&amp;" "&amp;$E50))&gt;0,0),0)),"Ерөнхий нийт"))</f>
        <v>Хүүхэд</v>
      </c>
      <c r="Q50" s="2"/>
      <c r="R50" s="2" t="str">
        <f aca="false">IF($G50="","",IF($Q50&lt;&gt;"",$Q50,$P50))</f>
        <v>Хүүхэд</v>
      </c>
    </row>
    <row r="51" customFormat="false" ht="26.25" hidden="false" customHeight="true" outlineLevel="0" collapsed="false">
      <c r="A51" s="8" t="s">
        <v>308</v>
      </c>
      <c r="B51" s="8"/>
      <c r="C51" s="8"/>
      <c r="D51" s="8"/>
      <c r="E51" s="8"/>
      <c r="F51" s="8"/>
      <c r="G51" s="8"/>
      <c r="H51" s="8"/>
      <c r="I51" s="8"/>
      <c r="J51" s="8"/>
      <c r="K51" s="8"/>
      <c r="L51" s="8"/>
      <c r="M51" s="2" t="str">
        <f aca="false" t="array" ref="M51:M51">IF($G51="","",IFERROR(INDEX(Ангилал!$A$5:$A$22,MATCH(TRUE(),INDEX(ISNUMBER(SEARCH(Ангилал!$B$5:$B$22,$G51&amp;" "&amp;$D51))+ISNUMBER(SEARCH(Ангилал!$C$5:$C$22,$G51&amp;" "&amp;$D51))+IF(Ангилал!$D$5:$D$22="",0,ISNUMBER(SEARCH(Ангилал!$D$5:$D$22,$G51&amp;" "&amp;$D51)))+IF(Ангилал!$E$5:$E$22="",0,ISNUMBER(SEARCH(Ангилал!$E$5:$E$22,$G51&amp;" "&amp;$D51)))&gt;0,0),0)),"Бусад"))</f>
        <v/>
      </c>
      <c r="N51" s="2"/>
      <c r="O51" s="2" t="str">
        <f aca="false">IF($G51="","",IF($N51&lt;&gt;"",$N51,$M51))</f>
        <v/>
      </c>
      <c r="P51" s="2" t="str">
        <f aca="false" t="array" ref="P51:P51">IF($G51="","",IFERROR(INDEX(Ангилал!$G$5:$G$16,MATCH(TRUE(),INDEX(ISNUMBER(SEARCH(Ангилал!$H$5:$H$16,$G51&amp;" "&amp;$D51&amp;" "&amp;$E51))+ISNUMBER(SEARCH(Ангилал!$I$5:$I$16,$G51&amp;" "&amp;$D51&amp;" "&amp;$E51))+ISNUMBER(SEARCH(Ангилал!$J$5:$J$16,$G51&amp;" "&amp;$D51&amp;" "&amp;$E51))+ISNUMBER(SEARCH(Ангилал!$K$5:$K$16,$G51&amp;" "&amp;$D51&amp;" "&amp;$E51))&gt;0,0),0)),"Ерөнхий нийт"))</f>
        <v/>
      </c>
      <c r="Q51" s="2"/>
      <c r="R51" s="2" t="str">
        <f aca="false">IF($G51="","",IF($Q51&lt;&gt;"",$Q51,$P51))</f>
        <v/>
      </c>
    </row>
    <row r="52" customFormat="false" ht="101.25" hidden="false" customHeight="true" outlineLevel="0" collapsed="false">
      <c r="A52" s="9" t="n">
        <v>38</v>
      </c>
      <c r="B52" s="10" t="s">
        <v>309</v>
      </c>
      <c r="C52" s="10" t="s">
        <v>310</v>
      </c>
      <c r="D52" s="11" t="s">
        <v>311</v>
      </c>
      <c r="E52" s="11" t="s">
        <v>312</v>
      </c>
      <c r="F52" s="10" t="s">
        <v>313</v>
      </c>
      <c r="G52" s="10" t="s">
        <v>314</v>
      </c>
      <c r="H52" s="10" t="s">
        <v>315</v>
      </c>
      <c r="I52" s="10" t="s">
        <v>316</v>
      </c>
      <c r="J52" s="10" t="s">
        <v>317</v>
      </c>
      <c r="K52" s="12" t="s">
        <v>318</v>
      </c>
      <c r="L52" s="10"/>
      <c r="M52" s="2" t="str">
        <f aca="false" t="array" ref="M52:M52">IF($G52="","",IFERROR(INDEX(Ангилал!$A$5:$A$22,MATCH(TRUE(),INDEX(ISNUMBER(SEARCH(Ангилал!$B$5:$B$22,$G52&amp;" "&amp;$D52))+ISNUMBER(SEARCH(Ангилал!$C$5:$C$22,$G52&amp;" "&amp;$D52))+IF(Ангилал!$D$5:$D$22="",0,ISNUMBER(SEARCH(Ангилал!$D$5:$D$22,$G52&amp;" "&amp;$D52)))+IF(Ангилал!$E$5:$E$22="",0,ISNUMBER(SEARCH(Ангилал!$E$5:$E$22,$G52&amp;" "&amp;$D52)))&gt;0,0),0)),"Бусад"))</f>
        <v>Хүүхдийн эрх</v>
      </c>
      <c r="N52" s="2"/>
      <c r="O52" s="2" t="str">
        <f aca="false">IF($G52="","",IF($N52&lt;&gt;"",$N52,$M52))</f>
        <v>Хүүхдийн эрх</v>
      </c>
      <c r="P52" s="2" t="str">
        <f aca="false" t="array" ref="P52:P52">IF($G52="","",IFERROR(INDEX(Ангилал!$G$5:$G$16,MATCH(TRUE(),INDEX(ISNUMBER(SEARCH(Ангилал!$H$5:$H$16,$G52&amp;" "&amp;$D52&amp;" "&amp;$E52))+ISNUMBER(SEARCH(Ангилал!$I$5:$I$16,$G52&amp;" "&amp;$D52&amp;" "&amp;$E52))+ISNUMBER(SEARCH(Ангилал!$J$5:$J$16,$G52&amp;" "&amp;$D52&amp;" "&amp;$E52))+ISNUMBER(SEARCH(Ангилал!$K$5:$K$16,$G52&amp;" "&amp;$D52&amp;" "&amp;$E52))&gt;0,0),0)),"Ерөнхий нийт"))</f>
        <v>Хүүхэд</v>
      </c>
      <c r="Q52" s="2"/>
      <c r="R52" s="2" t="str">
        <f aca="false">IF($G52="","",IF($Q52&lt;&gt;"",$Q52,$P52))</f>
        <v>Хүүхэд</v>
      </c>
    </row>
    <row r="53" customFormat="false" ht="57.75" hidden="false" customHeight="true" outlineLevel="0" collapsed="false">
      <c r="A53" s="9" t="n">
        <v>39</v>
      </c>
      <c r="B53" s="10" t="s">
        <v>319</v>
      </c>
      <c r="C53" s="10" t="s">
        <v>319</v>
      </c>
      <c r="D53" s="11" t="s">
        <v>320</v>
      </c>
      <c r="E53" s="11" t="s">
        <v>321</v>
      </c>
      <c r="F53" s="10" t="s">
        <v>322</v>
      </c>
      <c r="G53" s="10" t="s">
        <v>323</v>
      </c>
      <c r="H53" s="10" t="s">
        <v>324</v>
      </c>
      <c r="I53" s="10" t="s">
        <v>325</v>
      </c>
      <c r="J53" s="10" t="s">
        <v>326</v>
      </c>
      <c r="K53" s="10"/>
      <c r="L53" s="10"/>
      <c r="M53" s="2" t="str">
        <f aca="false" t="array" ref="M53:M53">IF($G53="","",IFERROR(INDEX(Ангилал!$A$5:$A$22,MATCH(TRUE(),INDEX(ISNUMBER(SEARCH(Ангилал!$B$5:$B$22,$G53&amp;" "&amp;$D53))+ISNUMBER(SEARCH(Ангилал!$C$5:$C$22,$G53&amp;" "&amp;$D53))+IF(Ангилал!$D$5:$D$22="",0,ISNUMBER(SEARCH(Ангилал!$D$5:$D$22,$G53&amp;" "&amp;$D53)))+IF(Ангилал!$E$5:$E$22="",0,ISNUMBER(SEARCH(Ангилал!$E$5:$E$22,$G53&amp;" "&amp;$D53)))&gt;0,0),0)),"Бусад"))</f>
        <v>Хүүхдийн эрх</v>
      </c>
      <c r="N53" s="2"/>
      <c r="O53" s="2" t="str">
        <f aca="false">IF($G53="","",IF($N53&lt;&gt;"",$N53,$M53))</f>
        <v>Хүүхдийн эрх</v>
      </c>
      <c r="P53" s="2" t="str">
        <f aca="false" t="array" ref="P53:P53">IF($G53="","",IFERROR(INDEX(Ангилал!$G$5:$G$16,MATCH(TRUE(),INDEX(ISNUMBER(SEARCH(Ангилал!$H$5:$H$16,$G53&amp;" "&amp;$D53&amp;" "&amp;$E53))+ISNUMBER(SEARCH(Ангилал!$I$5:$I$16,$G53&amp;" "&amp;$D53&amp;" "&amp;$E53))+ISNUMBER(SEARCH(Ангилал!$J$5:$J$16,$G53&amp;" "&amp;$D53&amp;" "&amp;$E53))+ISNUMBER(SEARCH(Ангилал!$K$5:$K$16,$G53&amp;" "&amp;$D53&amp;" "&amp;$E53))&gt;0,0),0)),"Ерөнхий нийт"))</f>
        <v>Хүүхэд</v>
      </c>
      <c r="Q53" s="2"/>
      <c r="R53" s="2" t="str">
        <f aca="false">IF($G53="","",IF($Q53&lt;&gt;"",$Q53,$P53))</f>
        <v>Хүүхэд</v>
      </c>
    </row>
    <row r="54" customFormat="false" ht="86.25" hidden="false" customHeight="true" outlineLevel="0" collapsed="false">
      <c r="A54" s="9" t="n">
        <v>40</v>
      </c>
      <c r="B54" s="10" t="s">
        <v>327</v>
      </c>
      <c r="C54" s="10" t="s">
        <v>328</v>
      </c>
      <c r="D54" s="11" t="s">
        <v>329</v>
      </c>
      <c r="E54" s="11" t="s">
        <v>330</v>
      </c>
      <c r="F54" s="10" t="s">
        <v>331</v>
      </c>
      <c r="G54" s="10" t="s">
        <v>332</v>
      </c>
      <c r="H54" s="10"/>
      <c r="I54" s="10" t="s">
        <v>333</v>
      </c>
      <c r="J54" s="10" t="s">
        <v>334</v>
      </c>
      <c r="K54" s="12" t="s">
        <v>335</v>
      </c>
      <c r="L54" s="10"/>
      <c r="M54" s="2" t="str">
        <f aca="false" t="array" ref="M54:M54">IF($G54="","",IFERROR(INDEX(Ангилал!$A$5:$A$22,MATCH(TRUE(),INDEX(ISNUMBER(SEARCH(Ангилал!$B$5:$B$22,$G54&amp;" "&amp;$D54))+ISNUMBER(SEARCH(Ангилал!$C$5:$C$22,$G54&amp;" "&amp;$D54))+IF(Ангилал!$D$5:$D$22="",0,ISNUMBER(SEARCH(Ангилал!$D$5:$D$22,$G54&amp;" "&amp;$D54)))+IF(Ангилал!$E$5:$E$22="",0,ISNUMBER(SEARCH(Ангилал!$E$5:$E$22,$G54&amp;" "&amp;$D54)))&gt;0,0),0)),"Бусад"))</f>
        <v>Хүүхдийн эрх</v>
      </c>
      <c r="N54" s="2"/>
      <c r="O54" s="2" t="str">
        <f aca="false">IF($G54="","",IF($N54&lt;&gt;"",$N54,$M54))</f>
        <v>Хүүхдийн эрх</v>
      </c>
      <c r="P54" s="2" t="str">
        <f aca="false" t="array" ref="P54:P54">IF($G54="","",IFERROR(INDEX(Ангилал!$G$5:$G$16,MATCH(TRUE(),INDEX(ISNUMBER(SEARCH(Ангилал!$H$5:$H$16,$G54&amp;" "&amp;$D54&amp;" "&amp;$E54))+ISNUMBER(SEARCH(Ангилал!$I$5:$I$16,$G54&amp;" "&amp;$D54&amp;" "&amp;$E54))+ISNUMBER(SEARCH(Ангилал!$J$5:$J$16,$G54&amp;" "&amp;$D54&amp;" "&amp;$E54))+ISNUMBER(SEARCH(Ангилал!$K$5:$K$16,$G54&amp;" "&amp;$D54&amp;" "&amp;$E54))&gt;0,0),0)),"Ерөнхий нийт"))</f>
        <v>Хүүхэд</v>
      </c>
      <c r="Q54" s="2"/>
      <c r="R54" s="2" t="str">
        <f aca="false">IF($G54="","",IF($Q54&lt;&gt;"",$Q54,$P54))</f>
        <v>Хүүхэд</v>
      </c>
    </row>
    <row r="55" customFormat="false" ht="43.5" hidden="false" customHeight="true" outlineLevel="0" collapsed="false">
      <c r="A55" s="9" t="n">
        <v>41</v>
      </c>
      <c r="B55" s="10" t="s">
        <v>336</v>
      </c>
      <c r="C55" s="10" t="s">
        <v>337</v>
      </c>
      <c r="D55" s="11" t="s">
        <v>338</v>
      </c>
      <c r="E55" s="11" t="s">
        <v>339</v>
      </c>
      <c r="F55" s="10" t="s">
        <v>331</v>
      </c>
      <c r="G55" s="10" t="s">
        <v>332</v>
      </c>
      <c r="H55" s="10" t="s">
        <v>340</v>
      </c>
      <c r="I55" s="10" t="s">
        <v>341</v>
      </c>
      <c r="J55" s="10" t="s">
        <v>342</v>
      </c>
      <c r="K55" s="12" t="s">
        <v>343</v>
      </c>
      <c r="L55" s="10"/>
      <c r="M55" s="2" t="str">
        <f aca="false" t="array" ref="M55:M55">IF($G55="","",IFERROR(INDEX(Ангилал!$A$5:$A$22,MATCH(TRUE(),INDEX(ISNUMBER(SEARCH(Ангилал!$B$5:$B$22,$G55&amp;" "&amp;$D55))+ISNUMBER(SEARCH(Ангилал!$C$5:$C$22,$G55&amp;" "&amp;$D55))+IF(Ангилал!$D$5:$D$22="",0,ISNUMBER(SEARCH(Ангилал!$D$5:$D$22,$G55&amp;" "&amp;$D55)))+IF(Ангилал!$E$5:$E$22="",0,ISNUMBER(SEARCH(Ангилал!$E$5:$E$22,$G55&amp;" "&amp;$D55)))&gt;0,0),0)),"Бусад"))</f>
        <v>Хүүхдийн эрх</v>
      </c>
      <c r="N55" s="2"/>
      <c r="O55" s="2" t="str">
        <f aca="false">IF($G55="","",IF($N55&lt;&gt;"",$N55,$M55))</f>
        <v>Хүүхдийн эрх</v>
      </c>
      <c r="P55" s="2" t="str">
        <f aca="false" t="array" ref="P55:P55">IF($G55="","",IFERROR(INDEX(Ангилал!$G$5:$G$16,MATCH(TRUE(),INDEX(ISNUMBER(SEARCH(Ангилал!$H$5:$H$16,$G55&amp;" "&amp;$D55&amp;" "&amp;$E55))+ISNUMBER(SEARCH(Ангилал!$I$5:$I$16,$G55&amp;" "&amp;$D55&amp;" "&amp;$E55))+ISNUMBER(SEARCH(Ангилал!$J$5:$J$16,$G55&amp;" "&amp;$D55&amp;" "&amp;$E55))+ISNUMBER(SEARCH(Ангилал!$K$5:$K$16,$G55&amp;" "&amp;$D55&amp;" "&amp;$E55))&gt;0,0),0)),"Ерөнхий нийт"))</f>
        <v>Хүүхэд</v>
      </c>
      <c r="Q55" s="2"/>
      <c r="R55" s="2" t="str">
        <f aca="false">IF($G55="","",IF($Q55&lt;&gt;"",$Q55,$P55))</f>
        <v>Хүүхэд</v>
      </c>
    </row>
    <row r="56" customFormat="false" ht="26.25" hidden="false" customHeight="true" outlineLevel="0" collapsed="false">
      <c r="A56" s="8" t="s">
        <v>344</v>
      </c>
      <c r="B56" s="8"/>
      <c r="C56" s="8"/>
      <c r="D56" s="8"/>
      <c r="E56" s="8"/>
      <c r="F56" s="8"/>
      <c r="G56" s="8"/>
      <c r="H56" s="8"/>
      <c r="I56" s="8"/>
      <c r="J56" s="8"/>
      <c r="K56" s="8"/>
      <c r="L56" s="8"/>
      <c r="M56" s="2" t="str">
        <f aca="false" t="array" ref="M56:M56">IF($G56="","",IFERROR(INDEX(Ангилал!$A$5:$A$22,MATCH(TRUE(),INDEX(ISNUMBER(SEARCH(Ангилал!$B$5:$B$22,$G56&amp;" "&amp;$D56))+ISNUMBER(SEARCH(Ангилал!$C$5:$C$22,$G56&amp;" "&amp;$D56))+IF(Ангилал!$D$5:$D$22="",0,ISNUMBER(SEARCH(Ангилал!$D$5:$D$22,$G56&amp;" "&amp;$D56)))+IF(Ангилал!$E$5:$E$22="",0,ISNUMBER(SEARCH(Ангилал!$E$5:$E$22,$G56&amp;" "&amp;$D56)))&gt;0,0),0)),"Бусад"))</f>
        <v/>
      </c>
      <c r="N56" s="2"/>
      <c r="O56" s="2" t="str">
        <f aca="false">IF($G56="","",IF($N56&lt;&gt;"",$N56,$M56))</f>
        <v/>
      </c>
      <c r="P56" s="2" t="str">
        <f aca="false" t="array" ref="P56:P56">IF($G56="","",IFERROR(INDEX(Ангилал!$G$5:$G$16,MATCH(TRUE(),INDEX(ISNUMBER(SEARCH(Ангилал!$H$5:$H$16,$G56&amp;" "&amp;$D56&amp;" "&amp;$E56))+ISNUMBER(SEARCH(Ангилал!$I$5:$I$16,$G56&amp;" "&amp;$D56&amp;" "&amp;$E56))+ISNUMBER(SEARCH(Ангилал!$J$5:$J$16,$G56&amp;" "&amp;$D56&amp;" "&amp;$E56))+ISNUMBER(SEARCH(Ангилал!$K$5:$K$16,$G56&amp;" "&amp;$D56&amp;" "&amp;$E56))&gt;0,0),0)),"Ерөнхий нийт"))</f>
        <v/>
      </c>
      <c r="Q56" s="2"/>
      <c r="R56" s="2" t="str">
        <f aca="false">IF($G56="","",IF($Q56&lt;&gt;"",$Q56,$P56))</f>
        <v/>
      </c>
    </row>
    <row r="57" customFormat="false" ht="115.5" hidden="false" customHeight="true" outlineLevel="0" collapsed="false">
      <c r="A57" s="9" t="n">
        <v>42</v>
      </c>
      <c r="B57" s="10" t="s">
        <v>345</v>
      </c>
      <c r="C57" s="10" t="s">
        <v>337</v>
      </c>
      <c r="D57" s="11" t="s">
        <v>346</v>
      </c>
      <c r="E57" s="11" t="s">
        <v>347</v>
      </c>
      <c r="F57" s="10" t="s">
        <v>348</v>
      </c>
      <c r="G57" s="10" t="s">
        <v>349</v>
      </c>
      <c r="H57" s="10"/>
      <c r="I57" s="10"/>
      <c r="J57" s="10" t="s">
        <v>350</v>
      </c>
      <c r="K57" s="12" t="s">
        <v>351</v>
      </c>
      <c r="L57" s="10"/>
      <c r="M57" s="2" t="str">
        <f aca="false" t="array" ref="M57:M57">IF($G57="","",IFERROR(INDEX(Ангилал!$A$5:$A$22,MATCH(TRUE(),INDEX(ISNUMBER(SEARCH(Ангилал!$B$5:$B$22,$G57&amp;" "&amp;$D57))+ISNUMBER(SEARCH(Ангилал!$C$5:$C$22,$G57&amp;" "&amp;$D57))+IF(Ангилал!$D$5:$D$22="",0,ISNUMBER(SEARCH(Ангилал!$D$5:$D$22,$G57&amp;" "&amp;$D57)))+IF(Ангилал!$E$5:$E$22="",0,ISNUMBER(SEARCH(Ангилал!$E$5:$E$22,$G57&amp;" "&amp;$D57)))&gt;0,0),0)),"Бусад"))</f>
        <v>Эрүүдэн шүүлт, хүнлэг бус харьцаа</v>
      </c>
      <c r="N57" s="2"/>
      <c r="O57" s="2" t="str">
        <f aca="false">IF($G57="","",IF($N57&lt;&gt;"",$N57,$M57))</f>
        <v>Эрүүдэн шүүлт, хүнлэг бус харьцаа</v>
      </c>
      <c r="P57" s="2" t="str">
        <f aca="false" t="array" ref="P57:P57">IF($G57="","",IFERROR(INDEX(Ангилал!$G$5:$G$16,MATCH(TRUE(),INDEX(ISNUMBER(SEARCH(Ангилал!$H$5:$H$16,$G57&amp;" "&amp;$D57&amp;" "&amp;$E57))+ISNUMBER(SEARCH(Ангилал!$I$5:$I$16,$G57&amp;" "&amp;$D57&amp;" "&amp;$E57))+ISNUMBER(SEARCH(Ангилал!$J$5:$J$16,$G57&amp;" "&amp;$D57&amp;" "&amp;$E57))+ISNUMBER(SEARCH(Ангилал!$K$5:$K$16,$G57&amp;" "&amp;$D57&amp;" "&amp;$E57))&gt;0,0),0)),"Ерөнхий нийт"))</f>
        <v>Хүүхэд</v>
      </c>
      <c r="Q57" s="2"/>
      <c r="R57" s="2" t="str">
        <f aca="false">IF($G57="","",IF($Q57&lt;&gt;"",$Q57,$P57))</f>
        <v>Хүүхэд</v>
      </c>
    </row>
    <row r="58" customFormat="false" ht="57.75" hidden="false" customHeight="true" outlineLevel="0" collapsed="false">
      <c r="A58" s="9" t="n">
        <v>43</v>
      </c>
      <c r="B58" s="10" t="s">
        <v>345</v>
      </c>
      <c r="C58" s="10" t="s">
        <v>337</v>
      </c>
      <c r="D58" s="11" t="s">
        <v>352</v>
      </c>
      <c r="E58" s="11" t="s">
        <v>353</v>
      </c>
      <c r="F58" s="10" t="s">
        <v>354</v>
      </c>
      <c r="G58" s="10" t="s">
        <v>355</v>
      </c>
      <c r="H58" s="10" t="s">
        <v>356</v>
      </c>
      <c r="I58" s="10" t="s">
        <v>357</v>
      </c>
      <c r="J58" s="10" t="s">
        <v>358</v>
      </c>
      <c r="K58" s="12" t="s">
        <v>359</v>
      </c>
      <c r="L58" s="10"/>
      <c r="M58" s="2" t="str">
        <f aca="false" t="array" ref="M58:M58">IF($G58="","",IFERROR(INDEX(Ангилал!$A$5:$A$22,MATCH(TRUE(),INDEX(ISNUMBER(SEARCH(Ангилал!$B$5:$B$22,$G58&amp;" "&amp;$D58))+ISNUMBER(SEARCH(Ангилал!$C$5:$C$22,$G58&amp;" "&amp;$D58))+IF(Ангилал!$D$5:$D$22="",0,ISNUMBER(SEARCH(Ангилал!$D$5:$D$22,$G58&amp;" "&amp;$D58)))+IF(Ангилал!$E$5:$E$22="",0,ISNUMBER(SEARCH(Ангилал!$E$5:$E$22,$G58&amp;" "&amp;$D58)))&gt;0,0),0)),"Бусад"))</f>
        <v>Хувийн нууц, халдашгүй байдал</v>
      </c>
      <c r="N58" s="2"/>
      <c r="O58" s="2" t="str">
        <f aca="false">IF($G58="","",IF($N58&lt;&gt;"",$N58,$M58))</f>
        <v>Хувийн нууц, халдашгүй байдал</v>
      </c>
      <c r="P58" s="2" t="str">
        <f aca="false" t="array" ref="P58:P58">IF($G58="","",IFERROR(INDEX(Ангилал!$G$5:$G$16,MATCH(TRUE(),INDEX(ISNUMBER(SEARCH(Ангилал!$H$5:$H$16,$G58&amp;" "&amp;$D58&amp;" "&amp;$E58))+ISNUMBER(SEARCH(Ангилал!$I$5:$I$16,$G58&amp;" "&amp;$D58&amp;" "&amp;$E58))+ISNUMBER(SEARCH(Ангилал!$J$5:$J$16,$G58&amp;" "&amp;$D58&amp;" "&amp;$E58))+ISNUMBER(SEARCH(Ангилал!$K$5:$K$16,$G58&amp;" "&amp;$D58&amp;" "&amp;$E58))&gt;0,0),0)),"Ерөнхий нийт"))</f>
        <v>Ерөнхий нийт</v>
      </c>
      <c r="Q58" s="2"/>
      <c r="R58" s="2" t="str">
        <f aca="false">IF($G58="","",IF($Q58&lt;&gt;"",$Q58,$P58))</f>
        <v>Ерөнхий нийт</v>
      </c>
    </row>
    <row r="59" customFormat="false" ht="86.25" hidden="false" customHeight="true" outlineLevel="0" collapsed="false">
      <c r="A59" s="9" t="n">
        <v>44</v>
      </c>
      <c r="B59" s="10" t="s">
        <v>360</v>
      </c>
      <c r="C59" s="10" t="s">
        <v>337</v>
      </c>
      <c r="D59" s="11" t="s">
        <v>361</v>
      </c>
      <c r="E59" s="11" t="s">
        <v>362</v>
      </c>
      <c r="F59" s="10" t="s">
        <v>337</v>
      </c>
      <c r="G59" s="10" t="s">
        <v>363</v>
      </c>
      <c r="H59" s="10" t="s">
        <v>364</v>
      </c>
      <c r="I59" s="10" t="s">
        <v>365</v>
      </c>
      <c r="J59" s="10" t="s">
        <v>317</v>
      </c>
      <c r="K59" s="12" t="s">
        <v>366</v>
      </c>
      <c r="L59" s="10"/>
      <c r="M59" s="2" t="str">
        <f aca="false" t="array" ref="M59:M59">IF($G59="","",IFERROR(INDEX(Ангилал!$A$5:$A$22,MATCH(TRUE(),INDEX(ISNUMBER(SEARCH(Ангилал!$B$5:$B$22,$G59&amp;" "&amp;$D59))+ISNUMBER(SEARCH(Ангилал!$C$5:$C$22,$G59&amp;" "&amp;$D59))+IF(Ангилал!$D$5:$D$22="",0,ISNUMBER(SEARCH(Ангилал!$D$5:$D$22,$G59&amp;" "&amp;$D59)))+IF(Ангилал!$E$5:$E$22="",0,ISNUMBER(SEARCH(Ангилал!$E$5:$E$22,$G59&amp;" "&amp;$D59)))&gt;0,0),0)),"Бусад"))</f>
        <v>Амьд явах, халдашгүй байх эрх</v>
      </c>
      <c r="N59" s="2"/>
      <c r="O59" s="2" t="str">
        <f aca="false">IF($G59="","",IF($N59&lt;&gt;"",$N59,$M59))</f>
        <v>Амьд явах, халдашгүй байх эрх</v>
      </c>
      <c r="P59" s="2" t="str">
        <f aca="false" t="array" ref="P59:P59">IF($G59="","",IFERROR(INDEX(Ангилал!$G$5:$G$16,MATCH(TRUE(),INDEX(ISNUMBER(SEARCH(Ангилал!$H$5:$H$16,$G59&amp;" "&amp;$D59&amp;" "&amp;$E59))+ISNUMBER(SEARCH(Ангилал!$I$5:$I$16,$G59&amp;" "&amp;$D59&amp;" "&amp;$E59))+ISNUMBER(SEARCH(Ангилал!$J$5:$J$16,$G59&amp;" "&amp;$D59&amp;" "&amp;$E59))+ISNUMBER(SEARCH(Ангилал!$K$5:$K$16,$G59&amp;" "&amp;$D59&amp;" "&amp;$E59))&gt;0,0),0)),"Ерөнхий нийт"))</f>
        <v>Хүүхэд</v>
      </c>
      <c r="Q59" s="2"/>
      <c r="R59" s="2" t="str">
        <f aca="false">IF($G59="","",IF($Q59&lt;&gt;"",$Q59,$P59))</f>
        <v>Хүүхэд</v>
      </c>
    </row>
    <row r="60" customFormat="false" ht="101.25" hidden="false" customHeight="true" outlineLevel="0" collapsed="false">
      <c r="A60" s="9" t="n">
        <v>45</v>
      </c>
      <c r="B60" s="10" t="s">
        <v>367</v>
      </c>
      <c r="C60" s="10" t="s">
        <v>368</v>
      </c>
      <c r="D60" s="11" t="s">
        <v>369</v>
      </c>
      <c r="E60" s="11" t="s">
        <v>370</v>
      </c>
      <c r="F60" s="10"/>
      <c r="G60" s="10" t="s">
        <v>371</v>
      </c>
      <c r="H60" s="10"/>
      <c r="I60" s="10"/>
      <c r="J60" s="10" t="s">
        <v>372</v>
      </c>
      <c r="K60" s="12" t="s">
        <v>373</v>
      </c>
      <c r="L60" s="10"/>
      <c r="M60" s="2" t="str">
        <f aca="false" t="array" ref="M60:M60">IF($G60="","",IFERROR(INDEX(Ангилал!$A$5:$A$22,MATCH(TRUE(),INDEX(ISNUMBER(SEARCH(Ангилал!$B$5:$B$22,$G60&amp;" "&amp;$D60))+ISNUMBER(SEARCH(Ангилал!$C$5:$C$22,$G60&amp;" "&amp;$D60))+IF(Ангилал!$D$5:$D$22="",0,ISNUMBER(SEARCH(Ангилал!$D$5:$D$22,$G60&amp;" "&amp;$D60)))+IF(Ангилал!$E$5:$E$22="",0,ISNUMBER(SEARCH(Ангилал!$E$5:$E$22,$G60&amp;" "&amp;$D60)))&gt;0,0),0)),"Бусад"))</f>
        <v>Эрүүдэн шүүлт, хүнлэг бус харьцаа</v>
      </c>
      <c r="N60" s="2"/>
      <c r="O60" s="2" t="str">
        <f aca="false">IF($G60="","",IF($N60&lt;&gt;"",$N60,$M60))</f>
        <v>Эрүүдэн шүүлт, хүнлэг бус харьцаа</v>
      </c>
      <c r="P60" s="2" t="str">
        <f aca="false" t="array" ref="P60:P60">IF($G60="","",IFERROR(INDEX(Ангилал!$G$5:$G$16,MATCH(TRUE(),INDEX(ISNUMBER(SEARCH(Ангилал!$H$5:$H$16,$G60&amp;" "&amp;$D60&amp;" "&amp;$E60))+ISNUMBER(SEARCH(Ангилал!$I$5:$I$16,$G60&amp;" "&amp;$D60&amp;" "&amp;$E60))+ISNUMBER(SEARCH(Ангилал!$J$5:$J$16,$G60&amp;" "&amp;$D60&amp;" "&amp;$E60))+ISNUMBER(SEARCH(Ангилал!$K$5:$K$16,$G60&amp;" "&amp;$D60&amp;" "&amp;$E60))&gt;0,0),0)),"Ерөнхий нийт"))</f>
        <v>Ерөнхий нийт</v>
      </c>
      <c r="Q60" s="2"/>
      <c r="R60" s="2" t="str">
        <f aca="false">IF($G60="","",IF($Q60&lt;&gt;"",$Q60,$P60))</f>
        <v>Ерөнхий нийт</v>
      </c>
    </row>
    <row r="61" customFormat="false" ht="26.25" hidden="false" customHeight="true" outlineLevel="0" collapsed="false">
      <c r="A61" s="8" t="s">
        <v>374</v>
      </c>
      <c r="B61" s="8"/>
      <c r="C61" s="8"/>
      <c r="D61" s="8"/>
      <c r="E61" s="8"/>
      <c r="F61" s="8"/>
      <c r="G61" s="8"/>
      <c r="H61" s="8"/>
      <c r="I61" s="8"/>
      <c r="J61" s="8"/>
      <c r="K61" s="8"/>
      <c r="L61" s="8"/>
      <c r="M61" s="2" t="str">
        <f aca="false" t="array" ref="M61:M61">IF($G61="","",IFERROR(INDEX(Ангилал!$A$5:$A$22,MATCH(TRUE(),INDEX(ISNUMBER(SEARCH(Ангилал!$B$5:$B$22,$G61&amp;" "&amp;$D61))+ISNUMBER(SEARCH(Ангилал!$C$5:$C$22,$G61&amp;" "&amp;$D61))+IF(Ангилал!$D$5:$D$22="",0,ISNUMBER(SEARCH(Ангилал!$D$5:$D$22,$G61&amp;" "&amp;$D61)))+IF(Ангилал!$E$5:$E$22="",0,ISNUMBER(SEARCH(Ангилал!$E$5:$E$22,$G61&amp;" "&amp;$D61)))&gt;0,0),0)),"Бусад"))</f>
        <v/>
      </c>
      <c r="N61" s="2"/>
      <c r="O61" s="2" t="str">
        <f aca="false">IF($G61="","",IF($N61&lt;&gt;"",$N61,$M61))</f>
        <v/>
      </c>
      <c r="P61" s="2" t="str">
        <f aca="false" t="array" ref="P61:P61">IF($G61="","",IFERROR(INDEX(Ангилал!$G$5:$G$16,MATCH(TRUE(),INDEX(ISNUMBER(SEARCH(Ангилал!$H$5:$H$16,$G61&amp;" "&amp;$D61&amp;" "&amp;$E61))+ISNUMBER(SEARCH(Ангилал!$I$5:$I$16,$G61&amp;" "&amp;$D61&amp;" "&amp;$E61))+ISNUMBER(SEARCH(Ангилал!$J$5:$J$16,$G61&amp;" "&amp;$D61&amp;" "&amp;$E61))+ISNUMBER(SEARCH(Ангилал!$K$5:$K$16,$G61&amp;" "&amp;$D61&amp;" "&amp;$E61))&gt;0,0),0)),"Ерөнхий нийт"))</f>
        <v/>
      </c>
      <c r="Q61" s="2"/>
      <c r="R61" s="2" t="str">
        <f aca="false">IF($G61="","",IF($Q61&lt;&gt;"",$Q61,$P61))</f>
        <v/>
      </c>
    </row>
    <row r="62" customFormat="false" ht="173.25" hidden="false" customHeight="true" outlineLevel="0" collapsed="false">
      <c r="A62" s="9" t="n">
        <v>46</v>
      </c>
      <c r="B62" s="10" t="s">
        <v>375</v>
      </c>
      <c r="C62" s="10" t="s">
        <v>375</v>
      </c>
      <c r="D62" s="11" t="s">
        <v>376</v>
      </c>
      <c r="E62" s="11" t="s">
        <v>377</v>
      </c>
      <c r="F62" s="10" t="s">
        <v>378</v>
      </c>
      <c r="G62" s="10" t="s">
        <v>379</v>
      </c>
      <c r="H62" s="10" t="s">
        <v>380</v>
      </c>
      <c r="I62" s="10" t="s">
        <v>381</v>
      </c>
      <c r="J62" s="10" t="s">
        <v>382</v>
      </c>
      <c r="K62" s="12" t="s">
        <v>383</v>
      </c>
      <c r="L62" s="10"/>
      <c r="M62" s="2" t="str">
        <f aca="false" t="array" ref="M62:M62">IF($G62="","",IFERROR(INDEX(Ангилал!$A$5:$A$22,MATCH(TRUE(),INDEX(ISNUMBER(SEARCH(Ангилал!$B$5:$B$22,$G62&amp;" "&amp;$D62))+ISNUMBER(SEARCH(Ангилал!$C$5:$C$22,$G62&amp;" "&amp;$D62))+IF(Ангилал!$D$5:$D$22="",0,ISNUMBER(SEARCH(Ангилал!$D$5:$D$22,$G62&amp;" "&amp;$D62)))+IF(Ангилал!$E$5:$E$22="",0,ISNUMBER(SEARCH(Ангилал!$E$5:$E$22,$G62&amp;" "&amp;$D62)))&gt;0,0),0)),"Бусад"))</f>
        <v>Хүүхдийн эрх</v>
      </c>
      <c r="N62" s="2"/>
      <c r="O62" s="2" t="str">
        <f aca="false">IF($G62="","",IF($N62&lt;&gt;"",$N62,$M62))</f>
        <v>Хүүхдийн эрх</v>
      </c>
      <c r="P62" s="2" t="str">
        <f aca="false" t="array" ref="P62:P62">IF($G62="","",IFERROR(INDEX(Ангилал!$G$5:$G$16,MATCH(TRUE(),INDEX(ISNUMBER(SEARCH(Ангилал!$H$5:$H$16,$G62&amp;" "&amp;$D62&amp;" "&amp;$E62))+ISNUMBER(SEARCH(Ангилал!$I$5:$I$16,$G62&amp;" "&amp;$D62&amp;" "&amp;$E62))+ISNUMBER(SEARCH(Ангилал!$J$5:$J$16,$G62&amp;" "&amp;$D62&amp;" "&amp;$E62))+ISNUMBER(SEARCH(Ангилал!$K$5:$K$16,$G62&amp;" "&amp;$D62&amp;" "&amp;$E62))&gt;0,0),0)),"Ерөнхий нийт"))</f>
        <v>Хүүхэд</v>
      </c>
      <c r="Q62" s="2"/>
      <c r="R62" s="2" t="str">
        <f aca="false">IF($G62="","",IF($Q62&lt;&gt;"",$Q62,$P62))</f>
        <v>Хүүхэд</v>
      </c>
    </row>
    <row r="63" customFormat="false" ht="86.25" hidden="false" customHeight="true" outlineLevel="0" collapsed="false">
      <c r="A63" s="9" t="n">
        <v>47</v>
      </c>
      <c r="B63" s="10" t="s">
        <v>375</v>
      </c>
      <c r="C63" s="10" t="s">
        <v>375</v>
      </c>
      <c r="D63" s="11" t="s">
        <v>384</v>
      </c>
      <c r="E63" s="11" t="s">
        <v>385</v>
      </c>
      <c r="F63" s="10" t="s">
        <v>331</v>
      </c>
      <c r="G63" s="10" t="s">
        <v>386</v>
      </c>
      <c r="H63" s="10" t="s">
        <v>387</v>
      </c>
      <c r="I63" s="10"/>
      <c r="J63" s="10" t="s">
        <v>388</v>
      </c>
      <c r="K63" s="12" t="s">
        <v>389</v>
      </c>
      <c r="L63" s="10"/>
      <c r="M63" s="2" t="str">
        <f aca="false" t="array" ref="M63:M63">IF($G63="","",IFERROR(INDEX(Ангилал!$A$5:$A$22,MATCH(TRUE(),INDEX(ISNUMBER(SEARCH(Ангилал!$B$5:$B$22,$G63&amp;" "&amp;$D63))+ISNUMBER(SEARCH(Ангилал!$C$5:$C$22,$G63&amp;" "&amp;$D63))+IF(Ангилал!$D$5:$D$22="",0,ISNUMBER(SEARCH(Ангилал!$D$5:$D$22,$G63&amp;" "&amp;$D63)))+IF(Ангилал!$E$5:$E$22="",0,ISNUMBER(SEARCH(Ангилал!$E$5:$E$22,$G63&amp;" "&amp;$D63)))&gt;0,0),0)),"Бусад"))</f>
        <v>Үзэл бодлоо илэрхийлэх, мэдээллийн эрх</v>
      </c>
      <c r="N63" s="2"/>
      <c r="O63" s="2" t="str">
        <f aca="false">IF($G63="","",IF($N63&lt;&gt;"",$N63,$M63))</f>
        <v>Үзэл бодлоо илэрхийлэх, мэдээллийн эрх</v>
      </c>
      <c r="P63" s="2" t="str">
        <f aca="false" t="array" ref="P63:P63">IF($G63="","",IFERROR(INDEX(Ангилал!$G$5:$G$16,MATCH(TRUE(),INDEX(ISNUMBER(SEARCH(Ангилал!$H$5:$H$16,$G63&amp;" "&amp;$D63&amp;" "&amp;$E63))+ISNUMBER(SEARCH(Ангилал!$I$5:$I$16,$G63&amp;" "&amp;$D63&amp;" "&amp;$E63))+ISNUMBER(SEARCH(Ангилал!$J$5:$J$16,$G63&amp;" "&amp;$D63&amp;" "&amp;$E63))+ISNUMBER(SEARCH(Ангилал!$K$5:$K$16,$G63&amp;" "&amp;$D63&amp;" "&amp;$E63))&gt;0,0),0)),"Ерөнхий нийт"))</f>
        <v>Хүүхэд</v>
      </c>
      <c r="Q63" s="2"/>
      <c r="R63" s="2" t="str">
        <f aca="false">IF($G63="","",IF($Q63&lt;&gt;"",$Q63,$P63))</f>
        <v>Хүүхэд</v>
      </c>
    </row>
    <row r="64" customFormat="false" ht="43.5" hidden="false" customHeight="true" outlineLevel="0" collapsed="false">
      <c r="A64" s="9" t="n">
        <v>48</v>
      </c>
      <c r="B64" s="10" t="s">
        <v>390</v>
      </c>
      <c r="C64" s="10" t="s">
        <v>390</v>
      </c>
      <c r="D64" s="11" t="s">
        <v>391</v>
      </c>
      <c r="E64" s="11" t="s">
        <v>392</v>
      </c>
      <c r="F64" s="10" t="s">
        <v>331</v>
      </c>
      <c r="G64" s="10" t="s">
        <v>393</v>
      </c>
      <c r="H64" s="10" t="s">
        <v>394</v>
      </c>
      <c r="I64" s="10"/>
      <c r="J64" s="10" t="s">
        <v>395</v>
      </c>
      <c r="K64" s="10" t="s">
        <v>396</v>
      </c>
      <c r="L64" s="10" t="s">
        <v>396</v>
      </c>
      <c r="M64" s="2" t="str">
        <f aca="false" t="array" ref="M64:M64">IF($G64="","",IFERROR(INDEX(Ангилал!$A$5:$A$22,MATCH(TRUE(),INDEX(ISNUMBER(SEARCH(Ангилал!$B$5:$B$22,$G64&amp;" "&amp;$D64))+ISNUMBER(SEARCH(Ангилал!$C$5:$C$22,$G64&amp;" "&amp;$D64))+IF(Ангилал!$D$5:$D$22="",0,ISNUMBER(SEARCH(Ангилал!$D$5:$D$22,$G64&amp;" "&amp;$D64)))+IF(Ангилал!$E$5:$E$22="",0,ISNUMBER(SEARCH(Ангилал!$E$5:$E$22,$G64&amp;" "&amp;$D64)))&gt;0,0),0)),"Бусад"))</f>
        <v>Бусад</v>
      </c>
      <c r="N64" s="2"/>
      <c r="O64" s="2" t="str">
        <f aca="false">IF($G64="","",IF($N64&lt;&gt;"",$N64,$M64))</f>
        <v>Бусад</v>
      </c>
      <c r="P64" s="2" t="str">
        <f aca="false" t="array" ref="P64:P64">IF($G64="","",IFERROR(INDEX(Ангилал!$G$5:$G$16,MATCH(TRUE(),INDEX(ISNUMBER(SEARCH(Ангилал!$H$5:$H$16,$G64&amp;" "&amp;$D64&amp;" "&amp;$E64))+ISNUMBER(SEARCH(Ангилал!$I$5:$I$16,$G64&amp;" "&amp;$D64&amp;" "&amp;$E64))+ISNUMBER(SEARCH(Ангилал!$J$5:$J$16,$G64&amp;" "&amp;$D64&amp;" "&amp;$E64))+ISNUMBER(SEARCH(Ангилал!$K$5:$K$16,$G64&amp;" "&amp;$D64&amp;" "&amp;$E64))&gt;0,0),0)),"Ерөнхий нийт"))</f>
        <v>Ерөнхий нийт</v>
      </c>
      <c r="Q64" s="2"/>
      <c r="R64" s="2" t="str">
        <f aca="false">IF($G64="","",IF($Q64&lt;&gt;"",$Q64,$P64))</f>
        <v>Ерөнхий нийт</v>
      </c>
    </row>
    <row r="65" customFormat="false" ht="57.75" hidden="false" customHeight="true" outlineLevel="0" collapsed="false">
      <c r="A65" s="9" t="n">
        <v>49</v>
      </c>
      <c r="B65" s="10" t="s">
        <v>397</v>
      </c>
      <c r="C65" s="10"/>
      <c r="D65" s="11" t="s">
        <v>398</v>
      </c>
      <c r="E65" s="11" t="s">
        <v>399</v>
      </c>
      <c r="F65" s="10" t="s">
        <v>331</v>
      </c>
      <c r="G65" s="10" t="s">
        <v>400</v>
      </c>
      <c r="H65" s="10" t="s">
        <v>401</v>
      </c>
      <c r="I65" s="10"/>
      <c r="J65" s="10" t="s">
        <v>402</v>
      </c>
      <c r="K65" s="12" t="s">
        <v>403</v>
      </c>
      <c r="L65" s="10"/>
      <c r="M65" s="2" t="str">
        <f aca="false" t="array" ref="M65:M65">IF($G65="","",IFERROR(INDEX(Ангилал!$A$5:$A$22,MATCH(TRUE(),INDEX(ISNUMBER(SEARCH(Ангилал!$B$5:$B$22,$G65&amp;" "&amp;$D65))+ISNUMBER(SEARCH(Ангилал!$C$5:$C$22,$G65&amp;" "&amp;$D65))+IF(Ангилал!$D$5:$D$22="",0,ISNUMBER(SEARCH(Ангилал!$D$5:$D$22,$G65&amp;" "&amp;$D65)))+IF(Ангилал!$E$5:$E$22="",0,ISNUMBER(SEARCH(Ангилал!$E$5:$E$22,$G65&amp;" "&amp;$D65)))&gt;0,0),0)),"Бусад"))</f>
        <v>Хүүхдийн эрх</v>
      </c>
      <c r="N65" s="2"/>
      <c r="O65" s="2" t="str">
        <f aca="false">IF($G65="","",IF($N65&lt;&gt;"",$N65,$M65))</f>
        <v>Хүүхдийн эрх</v>
      </c>
      <c r="P65" s="2" t="str">
        <f aca="false" t="array" ref="P65:P65">IF($G65="","",IFERROR(INDEX(Ангилал!$G$5:$G$16,MATCH(TRUE(),INDEX(ISNUMBER(SEARCH(Ангилал!$H$5:$H$16,$G65&amp;" "&amp;$D65&amp;" "&amp;$E65))+ISNUMBER(SEARCH(Ангилал!$I$5:$I$16,$G65&amp;" "&amp;$D65&amp;" "&amp;$E65))+ISNUMBER(SEARCH(Ангилал!$J$5:$J$16,$G65&amp;" "&amp;$D65&amp;" "&amp;$E65))+ISNUMBER(SEARCH(Ангилал!$K$5:$K$16,$G65&amp;" "&amp;$D65&amp;" "&amp;$E65))&gt;0,0),0)),"Ерөнхий нийт"))</f>
        <v>Хүүхэд</v>
      </c>
      <c r="Q65" s="2"/>
      <c r="R65" s="2" t="str">
        <f aca="false">IF($G65="","",IF($Q65&lt;&gt;"",$Q65,$P65))</f>
        <v>Хүүхэд</v>
      </c>
    </row>
    <row r="66" customFormat="false" ht="57.75" hidden="false" customHeight="true" outlineLevel="0" collapsed="false">
      <c r="A66" s="9" t="n">
        <v>50</v>
      </c>
      <c r="B66" s="10" t="s">
        <v>404</v>
      </c>
      <c r="C66" s="10"/>
      <c r="D66" s="11" t="s">
        <v>405</v>
      </c>
      <c r="E66" s="12" t="s">
        <v>406</v>
      </c>
      <c r="F66" s="10" t="s">
        <v>407</v>
      </c>
      <c r="G66" s="10" t="s">
        <v>408</v>
      </c>
      <c r="H66" s="10" t="s">
        <v>409</v>
      </c>
      <c r="I66" s="10"/>
      <c r="J66" s="10" t="s">
        <v>410</v>
      </c>
      <c r="K66" s="12" t="s">
        <v>411</v>
      </c>
      <c r="L66" s="10"/>
      <c r="M66" s="2" t="str">
        <f aca="false" t="array" ref="M66:M66">IF($G66="","",IFERROR(INDEX(Ангилал!$A$5:$A$22,MATCH(TRUE(),INDEX(ISNUMBER(SEARCH(Ангилал!$B$5:$B$22,$G66&amp;" "&amp;$D66))+ISNUMBER(SEARCH(Ангилал!$C$5:$C$22,$G66&amp;" "&amp;$D66))+IF(Ангилал!$D$5:$D$22="",0,ISNUMBER(SEARCH(Ангилал!$D$5:$D$22,$G66&amp;" "&amp;$D66)))+IF(Ангилал!$E$5:$E$22="",0,ISNUMBER(SEARCH(Ангилал!$E$5:$E$22,$G66&amp;" "&amp;$D66)))&gt;0,0),0)),"Бусад"))</f>
        <v>Хүчирхийлэл, бэлгийн дарамтаас ангид байх</v>
      </c>
      <c r="N66" s="2"/>
      <c r="O66" s="2" t="str">
        <f aca="false">IF($G66="","",IF($N66&lt;&gt;"",$N66,$M66))</f>
        <v>Хүчирхийлэл, бэлгийн дарамтаас ангид байх</v>
      </c>
      <c r="P66" s="2" t="str">
        <f aca="false" t="array" ref="P66:P66">IF($G66="","",IFERROR(INDEX(Ангилал!$G$5:$G$16,MATCH(TRUE(),INDEX(ISNUMBER(SEARCH(Ангилал!$H$5:$H$16,$G66&amp;" "&amp;$D66&amp;" "&amp;$E66))+ISNUMBER(SEARCH(Ангилал!$I$5:$I$16,$G66&amp;" "&amp;$D66&amp;" "&amp;$E66))+ISNUMBER(SEARCH(Ангилал!$J$5:$J$16,$G66&amp;" "&amp;$D66&amp;" "&amp;$E66))+ISNUMBER(SEARCH(Ангилал!$K$5:$K$16,$G66&amp;" "&amp;$D66&amp;" "&amp;$E66))&gt;0,0),0)),"Ерөнхий нийт"))</f>
        <v>Ерөнхий нийт</v>
      </c>
      <c r="Q66" s="2"/>
      <c r="R66" s="2" t="str">
        <f aca="false">IF($G66="","",IF($Q66&lt;&gt;"",$Q66,$P66))</f>
        <v>Ерөнхий нийт</v>
      </c>
    </row>
    <row r="67" customFormat="false" ht="26.25" hidden="false" customHeight="true" outlineLevel="0" collapsed="false">
      <c r="A67" s="8" t="s">
        <v>412</v>
      </c>
      <c r="B67" s="8"/>
      <c r="C67" s="8"/>
      <c r="D67" s="8"/>
      <c r="E67" s="8"/>
      <c r="F67" s="8"/>
      <c r="G67" s="8"/>
      <c r="H67" s="8"/>
      <c r="I67" s="8"/>
      <c r="J67" s="8"/>
      <c r="K67" s="8"/>
      <c r="L67" s="8"/>
      <c r="M67" s="2" t="str">
        <f aca="false" t="array" ref="M67:M67">IF($G67="","",IFERROR(INDEX(Ангилал!$A$5:$A$22,MATCH(TRUE(),INDEX(ISNUMBER(SEARCH(Ангилал!$B$5:$B$22,$G67&amp;" "&amp;$D67))+ISNUMBER(SEARCH(Ангилал!$C$5:$C$22,$G67&amp;" "&amp;$D67))+IF(Ангилал!$D$5:$D$22="",0,ISNUMBER(SEARCH(Ангилал!$D$5:$D$22,$G67&amp;" "&amp;$D67)))+IF(Ангилал!$E$5:$E$22="",0,ISNUMBER(SEARCH(Ангилал!$E$5:$E$22,$G67&amp;" "&amp;$D67)))&gt;0,0),0)),"Бусад"))</f>
        <v/>
      </c>
      <c r="N67" s="2"/>
      <c r="O67" s="2" t="str">
        <f aca="false">IF($G67="","",IF($N67&lt;&gt;"",$N67,$M67))</f>
        <v/>
      </c>
      <c r="P67" s="2" t="str">
        <f aca="false" t="array" ref="P67:P67">IF($G67="","",IFERROR(INDEX(Ангилал!$G$5:$G$16,MATCH(TRUE(),INDEX(ISNUMBER(SEARCH(Ангилал!$H$5:$H$16,$G67&amp;" "&amp;$D67&amp;" "&amp;$E67))+ISNUMBER(SEARCH(Ангилал!$I$5:$I$16,$G67&amp;" "&amp;$D67&amp;" "&amp;$E67))+ISNUMBER(SEARCH(Ангилал!$J$5:$J$16,$G67&amp;" "&amp;$D67&amp;" "&amp;$E67))+ISNUMBER(SEARCH(Ангилал!$K$5:$K$16,$G67&amp;" "&amp;$D67&amp;" "&amp;$E67))&gt;0,0),0)),"Ерөнхий нийт"))</f>
        <v/>
      </c>
      <c r="Q67" s="2"/>
      <c r="R67" s="2" t="str">
        <f aca="false">IF($G67="","",IF($Q67&lt;&gt;"",$Q67,$P67))</f>
        <v/>
      </c>
    </row>
    <row r="68" customFormat="false" ht="86.25" hidden="false" customHeight="true" outlineLevel="0" collapsed="false">
      <c r="A68" s="9" t="n">
        <v>51</v>
      </c>
      <c r="B68" s="10" t="s">
        <v>413</v>
      </c>
      <c r="C68" s="10" t="s">
        <v>414</v>
      </c>
      <c r="D68" s="11" t="s">
        <v>415</v>
      </c>
      <c r="E68" s="11" t="s">
        <v>416</v>
      </c>
      <c r="F68" s="10" t="s">
        <v>417</v>
      </c>
      <c r="G68" s="10" t="s">
        <v>418</v>
      </c>
      <c r="H68" s="10" t="s">
        <v>419</v>
      </c>
      <c r="I68" s="10" t="s">
        <v>420</v>
      </c>
      <c r="J68" s="10" t="s">
        <v>198</v>
      </c>
      <c r="K68" s="12" t="s">
        <v>421</v>
      </c>
      <c r="L68" s="10"/>
      <c r="M68" s="2" t="str">
        <f aca="false" t="array" ref="M68:M68">IF($G68="","",IFERROR(INDEX(Ангилал!$A$5:$A$22,MATCH(TRUE(),INDEX(ISNUMBER(SEARCH(Ангилал!$B$5:$B$22,$G68&amp;" "&amp;$D68))+ISNUMBER(SEARCH(Ангилал!$C$5:$C$22,$G68&amp;" "&amp;$D68))+IF(Ангилал!$D$5:$D$22="",0,ISNUMBER(SEARCH(Ангилал!$D$5:$D$22,$G68&amp;" "&amp;$D68)))+IF(Ангилал!$E$5:$E$22="",0,ISNUMBER(SEARCH(Ангилал!$E$5:$E$22,$G68&amp;" "&amp;$D68)))&gt;0,0),0)),"Бусад"))</f>
        <v>Амьд явах, халдашгүй байх эрх</v>
      </c>
      <c r="N68" s="2"/>
      <c r="O68" s="2" t="str">
        <f aca="false">IF($G68="","",IF($N68&lt;&gt;"",$N68,$M68))</f>
        <v>Амьд явах, халдашгүй байх эрх</v>
      </c>
      <c r="P68" s="2" t="str">
        <f aca="false" t="array" ref="P68:P68">IF($G68="","",IFERROR(INDEX(Ангилал!$G$5:$G$16,MATCH(TRUE(),INDEX(ISNUMBER(SEARCH(Ангилал!$H$5:$H$16,$G68&amp;" "&amp;$D68&amp;" "&amp;$E68))+ISNUMBER(SEARCH(Ангилал!$I$5:$I$16,$G68&amp;" "&amp;$D68&amp;" "&amp;$E68))+ISNUMBER(SEARCH(Ангилал!$J$5:$J$16,$G68&amp;" "&amp;$D68&amp;" "&amp;$E68))+ISNUMBER(SEARCH(Ангилал!$K$5:$K$16,$G68&amp;" "&amp;$D68&amp;" "&amp;$E68))&gt;0,0),0)),"Ерөнхий нийт"))</f>
        <v>Ерөнхий нийт</v>
      </c>
      <c r="Q68" s="2"/>
      <c r="R68" s="2" t="str">
        <f aca="false">IF($G68="","",IF($Q68&lt;&gt;"",$Q68,$P68))</f>
        <v>Ерөнхий нийт</v>
      </c>
    </row>
    <row r="69" customFormat="false" ht="86.25" hidden="false" customHeight="true" outlineLevel="0" collapsed="false">
      <c r="A69" s="9" t="n">
        <v>52</v>
      </c>
      <c r="B69" s="10" t="s">
        <v>422</v>
      </c>
      <c r="C69" s="10" t="s">
        <v>423</v>
      </c>
      <c r="D69" s="11" t="s">
        <v>424</v>
      </c>
      <c r="E69" s="11" t="s">
        <v>425</v>
      </c>
      <c r="F69" s="10" t="s">
        <v>426</v>
      </c>
      <c r="G69" s="10" t="s">
        <v>427</v>
      </c>
      <c r="H69" s="10" t="s">
        <v>428</v>
      </c>
      <c r="I69" s="10" t="s">
        <v>429</v>
      </c>
      <c r="J69" s="10" t="s">
        <v>430</v>
      </c>
      <c r="K69" s="12" t="s">
        <v>431</v>
      </c>
      <c r="L69" s="10"/>
      <c r="M69" s="2" t="str">
        <f aca="false" t="array" ref="M69:M69">IF($G69="","",IFERROR(INDEX(Ангилал!$A$5:$A$22,MATCH(TRUE(),INDEX(ISNUMBER(SEARCH(Ангилал!$B$5:$B$22,$G69&amp;" "&amp;$D69))+ISNUMBER(SEARCH(Ангилал!$C$5:$C$22,$G69&amp;" "&amp;$D69))+IF(Ангилал!$D$5:$D$22="",0,ISNUMBER(SEARCH(Ангилал!$D$5:$D$22,$G69&amp;" "&amp;$D69)))+IF(Ангилал!$E$5:$E$22="",0,ISNUMBER(SEARCH(Ангилал!$E$5:$E$22,$G69&amp;" "&amp;$D69)))&gt;0,0),0)),"Бусад"))</f>
        <v>Амьд явах, халдашгүй байх эрх</v>
      </c>
      <c r="N69" s="2"/>
      <c r="O69" s="2" t="str">
        <f aca="false">IF($G69="","",IF($N69&lt;&gt;"",$N69,$M69))</f>
        <v>Амьд явах, халдашгүй байх эрх</v>
      </c>
      <c r="P69" s="2" t="str">
        <f aca="false" t="array" ref="P69:P69">IF($G69="","",IFERROR(INDEX(Ангилал!$G$5:$G$16,MATCH(TRUE(),INDEX(ISNUMBER(SEARCH(Ангилал!$H$5:$H$16,$G69&amp;" "&amp;$D69&amp;" "&amp;$E69))+ISNUMBER(SEARCH(Ангилал!$I$5:$I$16,$G69&amp;" "&amp;$D69&amp;" "&amp;$E69))+ISNUMBER(SEARCH(Ангилал!$J$5:$J$16,$G69&amp;" "&amp;$D69&amp;" "&amp;$E69))+ISNUMBER(SEARCH(Ангилал!$K$5:$K$16,$G69&amp;" "&amp;$D69&amp;" "&amp;$E69))&gt;0,0),0)),"Ерөнхий нийт"))</f>
        <v>Ерөнхий нийт</v>
      </c>
      <c r="Q69" s="2"/>
      <c r="R69" s="2" t="str">
        <f aca="false">IF($G69="","",IF($Q69&lt;&gt;"",$Q69,$P69))</f>
        <v>Ерөнхий нийт</v>
      </c>
    </row>
    <row r="70" customFormat="false" ht="86.25" hidden="false" customHeight="true" outlineLevel="0" collapsed="false">
      <c r="A70" s="9" t="n">
        <v>53</v>
      </c>
      <c r="B70" s="10" t="s">
        <v>432</v>
      </c>
      <c r="C70" s="10" t="s">
        <v>432</v>
      </c>
      <c r="D70" s="11" t="s">
        <v>433</v>
      </c>
      <c r="E70" s="11" t="s">
        <v>434</v>
      </c>
      <c r="F70" s="10" t="s">
        <v>435</v>
      </c>
      <c r="G70" s="10" t="s">
        <v>436</v>
      </c>
      <c r="H70" s="10" t="s">
        <v>437</v>
      </c>
      <c r="I70" s="10" t="s">
        <v>438</v>
      </c>
      <c r="J70" s="10" t="s">
        <v>439</v>
      </c>
      <c r="K70" s="12" t="s">
        <v>440</v>
      </c>
      <c r="L70" s="10"/>
      <c r="M70" s="2" t="str">
        <f aca="false" t="array" ref="M70:M70">IF($G70="","",IFERROR(INDEX(Ангилал!$A$5:$A$22,MATCH(TRUE(),INDEX(ISNUMBER(SEARCH(Ангилал!$B$5:$B$22,$G70&amp;" "&amp;$D70))+ISNUMBER(SEARCH(Ангилал!$C$5:$C$22,$G70&amp;" "&amp;$D70))+IF(Ангилал!$D$5:$D$22="",0,ISNUMBER(SEARCH(Ангилал!$D$5:$D$22,$G70&amp;" "&amp;$D70)))+IF(Ангилал!$E$5:$E$22="",0,ISNUMBER(SEARCH(Ангилал!$E$5:$E$22,$G70&amp;" "&amp;$D70)))&gt;0,0),0)),"Бусад"))</f>
        <v>Хөдөлмөрлөх эрх</v>
      </c>
      <c r="N70" s="2"/>
      <c r="O70" s="2" t="str">
        <f aca="false">IF($G70="","",IF($N70&lt;&gt;"",$N70,$M70))</f>
        <v>Хөдөлмөрлөх эрх</v>
      </c>
      <c r="P70" s="2" t="str">
        <f aca="false" t="array" ref="P70:P70">IF($G70="","",IFERROR(INDEX(Ангилал!$G$5:$G$16,MATCH(TRUE(),INDEX(ISNUMBER(SEARCH(Ангилал!$H$5:$H$16,$G70&amp;" "&amp;$D70&amp;" "&amp;$E70))+ISNUMBER(SEARCH(Ангилал!$I$5:$I$16,$G70&amp;" "&amp;$D70&amp;" "&amp;$E70))+ISNUMBER(SEARCH(Ангилал!$J$5:$J$16,$G70&amp;" "&amp;$D70&amp;" "&amp;$E70))+ISNUMBER(SEARCH(Ангилал!$K$5:$K$16,$G70&amp;" "&amp;$D70&amp;" "&amp;$E70))&gt;0,0),0)),"Ерөнхий нийт"))</f>
        <v>Ажилчид, хөдөлмөр эрхлэгчид</v>
      </c>
      <c r="Q70" s="2"/>
      <c r="R70" s="2" t="str">
        <f aca="false">IF($G70="","",IF($Q70&lt;&gt;"",$Q70,$P70))</f>
        <v>Ажилчид, хөдөлмөр эрхлэгчид</v>
      </c>
    </row>
    <row r="71" customFormat="false" ht="72" hidden="false" customHeight="true" outlineLevel="0" collapsed="false">
      <c r="A71" s="9" t="n">
        <v>54</v>
      </c>
      <c r="B71" s="10" t="s">
        <v>432</v>
      </c>
      <c r="C71" s="10" t="s">
        <v>432</v>
      </c>
      <c r="D71" s="11" t="s">
        <v>441</v>
      </c>
      <c r="E71" s="11" t="s">
        <v>442</v>
      </c>
      <c r="F71" s="10" t="s">
        <v>331</v>
      </c>
      <c r="G71" s="10" t="s">
        <v>443</v>
      </c>
      <c r="H71" s="10" t="s">
        <v>444</v>
      </c>
      <c r="I71" s="10" t="s">
        <v>445</v>
      </c>
      <c r="J71" s="10" t="s">
        <v>446</v>
      </c>
      <c r="K71" s="12" t="s">
        <v>447</v>
      </c>
      <c r="L71" s="10"/>
      <c r="M71" s="2" t="str">
        <f aca="false" t="array" ref="M71:M71">IF($G71="","",IFERROR(INDEX(Ангилал!$A$5:$A$22,MATCH(TRUE(),INDEX(ISNUMBER(SEARCH(Ангилал!$B$5:$B$22,$G71&amp;" "&amp;$D71))+ISNUMBER(SEARCH(Ангилал!$C$5:$C$22,$G71&amp;" "&amp;$D71))+IF(Ангилал!$D$5:$D$22="",0,ISNUMBER(SEARCH(Ангилал!$D$5:$D$22,$G71&amp;" "&amp;$D71)))+IF(Ангилал!$E$5:$E$22="",0,ISNUMBER(SEARCH(Ангилал!$E$5:$E$22,$G71&amp;" "&amp;$D71)))&gt;0,0),0)),"Бусад"))</f>
        <v>Хүүхдийн эрх</v>
      </c>
      <c r="N71" s="2"/>
      <c r="O71" s="2" t="str">
        <f aca="false">IF($G71="","",IF($N71&lt;&gt;"",$N71,$M71))</f>
        <v>Хүүхдийн эрх</v>
      </c>
      <c r="P71" s="2" t="str">
        <f aca="false" t="array" ref="P71:P71">IF($G71="","",IFERROR(INDEX(Ангилал!$G$5:$G$16,MATCH(TRUE(),INDEX(ISNUMBER(SEARCH(Ангилал!$H$5:$H$16,$G71&amp;" "&amp;$D71&amp;" "&amp;$E71))+ISNUMBER(SEARCH(Ангилал!$I$5:$I$16,$G71&amp;" "&amp;$D71&amp;" "&amp;$E71))+ISNUMBER(SEARCH(Ангилал!$J$5:$J$16,$G71&amp;" "&amp;$D71&amp;" "&amp;$E71))+ISNUMBER(SEARCH(Ангилал!$K$5:$K$16,$G71&amp;" "&amp;$D71&amp;" "&amp;$E71))&gt;0,0),0)),"Ерөнхий нийт"))</f>
        <v>Хүүхэд</v>
      </c>
      <c r="Q71" s="2"/>
      <c r="R71" s="2" t="str">
        <f aca="false">IF($G71="","",IF($Q71&lt;&gt;"",$Q71,$P71))</f>
        <v>Хүүхэд</v>
      </c>
    </row>
    <row r="72" customFormat="false" ht="86.25" hidden="false" customHeight="true" outlineLevel="0" collapsed="false">
      <c r="A72" s="9" t="n">
        <v>55</v>
      </c>
      <c r="B72" s="10" t="s">
        <v>413</v>
      </c>
      <c r="C72" s="10" t="s">
        <v>413</v>
      </c>
      <c r="D72" s="11" t="s">
        <v>448</v>
      </c>
      <c r="E72" s="11" t="s">
        <v>449</v>
      </c>
      <c r="F72" s="10" t="s">
        <v>450</v>
      </c>
      <c r="G72" s="10" t="s">
        <v>451</v>
      </c>
      <c r="H72" s="10" t="s">
        <v>142</v>
      </c>
      <c r="I72" s="10" t="s">
        <v>452</v>
      </c>
      <c r="J72" s="10" t="s">
        <v>453</v>
      </c>
      <c r="K72" s="12" t="s">
        <v>454</v>
      </c>
      <c r="L72" s="10"/>
      <c r="M72" s="2" t="str">
        <f aca="false" t="array" ref="M72:M72">IF($G72="","",IFERROR(INDEX(Ангилал!$A$5:$A$22,MATCH(TRUE(),INDEX(ISNUMBER(SEARCH(Ангилал!$B$5:$B$22,$G72&amp;" "&amp;$D72))+ISNUMBER(SEARCH(Ангилал!$C$5:$C$22,$G72&amp;" "&amp;$D72))+IF(Ангилал!$D$5:$D$22="",0,ISNUMBER(SEARCH(Ангилал!$D$5:$D$22,$G72&amp;" "&amp;$D72)))+IF(Ангилал!$E$5:$E$22="",0,ISNUMBER(SEARCH(Ангилал!$E$5:$E$22,$G72&amp;" "&amp;$D72)))&gt;0,0),0)),"Бусад"))</f>
        <v>Хүүхдийн эрх</v>
      </c>
      <c r="N72" s="2"/>
      <c r="O72" s="2" t="str">
        <f aca="false">IF($G72="","",IF($N72&lt;&gt;"",$N72,$M72))</f>
        <v>Хүүхдийн эрх</v>
      </c>
      <c r="P72" s="2" t="str">
        <f aca="false" t="array" ref="P72:P72">IF($G72="","",IFERROR(INDEX(Ангилал!$G$5:$G$16,MATCH(TRUE(),INDEX(ISNUMBER(SEARCH(Ангилал!$H$5:$H$16,$G72&amp;" "&amp;$D72&amp;" "&amp;$E72))+ISNUMBER(SEARCH(Ангилал!$I$5:$I$16,$G72&amp;" "&amp;$D72&amp;" "&amp;$E72))+ISNUMBER(SEARCH(Ангилал!$J$5:$J$16,$G72&amp;" "&amp;$D72&amp;" "&amp;$E72))+ISNUMBER(SEARCH(Ангилал!$K$5:$K$16,$G72&amp;" "&amp;$D72&amp;" "&amp;$E72))&gt;0,0),0)),"Ерөнхий нийт"))</f>
        <v>Хүүхэд</v>
      </c>
      <c r="Q72" s="2"/>
      <c r="R72" s="2" t="str">
        <f aca="false">IF($G72="","",IF($Q72&lt;&gt;"",$Q72,$P72))</f>
        <v>Хүүхэд</v>
      </c>
    </row>
    <row r="73" customFormat="false" ht="86.25" hidden="false" customHeight="true" outlineLevel="0" collapsed="false">
      <c r="A73" s="9" t="n">
        <v>56</v>
      </c>
      <c r="B73" s="10" t="s">
        <v>455</v>
      </c>
      <c r="C73" s="10" t="s">
        <v>455</v>
      </c>
      <c r="D73" s="11" t="s">
        <v>456</v>
      </c>
      <c r="E73" s="11" t="s">
        <v>457</v>
      </c>
      <c r="F73" s="10" t="s">
        <v>331</v>
      </c>
      <c r="G73" s="10" t="s">
        <v>443</v>
      </c>
      <c r="H73" s="10" t="s">
        <v>444</v>
      </c>
      <c r="I73" s="10" t="s">
        <v>458</v>
      </c>
      <c r="J73" s="10" t="s">
        <v>446</v>
      </c>
      <c r="K73" s="12" t="s">
        <v>459</v>
      </c>
      <c r="L73" s="10"/>
      <c r="M73" s="2" t="str">
        <f aca="false" t="array" ref="M73:M73">IF($G73="","",IFERROR(INDEX(Ангилал!$A$5:$A$22,MATCH(TRUE(),INDEX(ISNUMBER(SEARCH(Ангилал!$B$5:$B$22,$G73&amp;" "&amp;$D73))+ISNUMBER(SEARCH(Ангилал!$C$5:$C$22,$G73&amp;" "&amp;$D73))+IF(Ангилал!$D$5:$D$22="",0,ISNUMBER(SEARCH(Ангилал!$D$5:$D$22,$G73&amp;" "&amp;$D73)))+IF(Ангилал!$E$5:$E$22="",0,ISNUMBER(SEARCH(Ангилал!$E$5:$E$22,$G73&amp;" "&amp;$D73)))&gt;0,0),0)),"Бусад"))</f>
        <v>Хүүхдийн эрх</v>
      </c>
      <c r="N73" s="2"/>
      <c r="O73" s="2" t="str">
        <f aca="false">IF($G73="","",IF($N73&lt;&gt;"",$N73,$M73))</f>
        <v>Хүүхдийн эрх</v>
      </c>
      <c r="P73" s="2" t="str">
        <f aca="false" t="array" ref="P73:P73">IF($G73="","",IFERROR(INDEX(Ангилал!$G$5:$G$16,MATCH(TRUE(),INDEX(ISNUMBER(SEARCH(Ангилал!$H$5:$H$16,$G73&amp;" "&amp;$D73&amp;" "&amp;$E73))+ISNUMBER(SEARCH(Ангилал!$I$5:$I$16,$G73&amp;" "&amp;$D73&amp;" "&amp;$E73))+ISNUMBER(SEARCH(Ангилал!$J$5:$J$16,$G73&amp;" "&amp;$D73&amp;" "&amp;$E73))+ISNUMBER(SEARCH(Ангилал!$K$5:$K$16,$G73&amp;" "&amp;$D73&amp;" "&amp;$E73))&gt;0,0),0)),"Ерөнхий нийт"))</f>
        <v>Хүүхэд</v>
      </c>
      <c r="Q73" s="2"/>
      <c r="R73" s="2" t="str">
        <f aca="false">IF($G73="","",IF($Q73&lt;&gt;"",$Q73,$P73))</f>
        <v>Хүүхэд</v>
      </c>
    </row>
    <row r="74" customFormat="false" ht="72" hidden="false" customHeight="true" outlineLevel="0" collapsed="false">
      <c r="A74" s="9" t="n">
        <v>57</v>
      </c>
      <c r="B74" s="10" t="s">
        <v>413</v>
      </c>
      <c r="C74" s="10" t="s">
        <v>460</v>
      </c>
      <c r="D74" s="11" t="s">
        <v>461</v>
      </c>
      <c r="E74" s="11" t="s">
        <v>462</v>
      </c>
      <c r="F74" s="10" t="s">
        <v>331</v>
      </c>
      <c r="G74" s="10" t="s">
        <v>463</v>
      </c>
      <c r="H74" s="10" t="s">
        <v>464</v>
      </c>
      <c r="I74" s="10" t="s">
        <v>465</v>
      </c>
      <c r="J74" s="10" t="s">
        <v>466</v>
      </c>
      <c r="K74" s="12" t="s">
        <v>467</v>
      </c>
      <c r="L74" s="10"/>
      <c r="M74" s="2" t="str">
        <f aca="false" t="array" ref="M74:M74">IF($G74="","",IFERROR(INDEX(Ангилал!$A$5:$A$22,MATCH(TRUE(),INDEX(ISNUMBER(SEARCH(Ангилал!$B$5:$B$22,$G74&amp;" "&amp;$D74))+ISNUMBER(SEARCH(Ангилал!$C$5:$C$22,$G74&amp;" "&amp;$D74))+IF(Ангилал!$D$5:$D$22="",0,ISNUMBER(SEARCH(Ангилал!$D$5:$D$22,$G74&amp;" "&amp;$D74)))+IF(Ангилал!$E$5:$E$22="",0,ISNUMBER(SEARCH(Ангилал!$E$5:$E$22,$G74&amp;" "&amp;$D74)))&gt;0,0),0)),"Бусад"))</f>
        <v>Амьд явах, халдашгүй байх эрх</v>
      </c>
      <c r="N74" s="2"/>
      <c r="O74" s="2" t="str">
        <f aca="false">IF($G74="","",IF($N74&lt;&gt;"",$N74,$M74))</f>
        <v>Амьд явах, халдашгүй байх эрх</v>
      </c>
      <c r="P74" s="2" t="str">
        <f aca="false" t="array" ref="P74:P74">IF($G74="","",IFERROR(INDEX(Ангилал!$G$5:$G$16,MATCH(TRUE(),INDEX(ISNUMBER(SEARCH(Ангилал!$H$5:$H$16,$G74&amp;" "&amp;$D74&amp;" "&amp;$E74))+ISNUMBER(SEARCH(Ангилал!$I$5:$I$16,$G74&amp;" "&amp;$D74&amp;" "&amp;$E74))+ISNUMBER(SEARCH(Ангилал!$J$5:$J$16,$G74&amp;" "&amp;$D74&amp;" "&amp;$E74))+ISNUMBER(SEARCH(Ангилал!$K$5:$K$16,$G74&amp;" "&amp;$D74&amp;" "&amp;$E74))&gt;0,0),0)),"Ерөнхий нийт"))</f>
        <v>Ерөнхий нийт</v>
      </c>
      <c r="Q74" s="2"/>
      <c r="R74" s="2" t="str">
        <f aca="false">IF($G74="","",IF($Q74&lt;&gt;"",$Q74,$P74))</f>
        <v>Ерөнхий нийт</v>
      </c>
    </row>
    <row r="75" customFormat="false" ht="101.25" hidden="false" customHeight="true" outlineLevel="0" collapsed="false">
      <c r="A75" s="9" t="n">
        <v>58</v>
      </c>
      <c r="B75" s="10" t="s">
        <v>455</v>
      </c>
      <c r="C75" s="10" t="s">
        <v>455</v>
      </c>
      <c r="D75" s="11" t="s">
        <v>468</v>
      </c>
      <c r="E75" s="11" t="s">
        <v>469</v>
      </c>
      <c r="F75" s="10" t="s">
        <v>470</v>
      </c>
      <c r="G75" s="10" t="s">
        <v>471</v>
      </c>
      <c r="H75" s="10" t="s">
        <v>472</v>
      </c>
      <c r="I75" s="10" t="s">
        <v>473</v>
      </c>
      <c r="J75" s="10" t="s">
        <v>474</v>
      </c>
      <c r="K75" s="12" t="s">
        <v>475</v>
      </c>
      <c r="L75" s="10"/>
      <c r="M75" s="2" t="str">
        <f aca="false" t="array" ref="M75:M75">IF($G75="","",IFERROR(INDEX(Ангилал!$A$5:$A$22,MATCH(TRUE(),INDEX(ISNUMBER(SEARCH(Ангилал!$B$5:$B$22,$G75&amp;" "&amp;$D75))+ISNUMBER(SEARCH(Ангилал!$C$5:$C$22,$G75&amp;" "&amp;$D75))+IF(Ангилал!$D$5:$D$22="",0,ISNUMBER(SEARCH(Ангилал!$D$5:$D$22,$G75&amp;" "&amp;$D75)))+IF(Ангилал!$E$5:$E$22="",0,ISNUMBER(SEARCH(Ангилал!$E$5:$E$22,$G75&amp;" "&amp;$D75)))&gt;0,0),0)),"Бусад"))</f>
        <v>Хүүхдийн эрх</v>
      </c>
      <c r="N75" s="2"/>
      <c r="O75" s="2" t="str">
        <f aca="false">IF($G75="","",IF($N75&lt;&gt;"",$N75,$M75))</f>
        <v>Хүүхдийн эрх</v>
      </c>
      <c r="P75" s="2" t="str">
        <f aca="false" t="array" ref="P75:P75">IF($G75="","",IFERROR(INDEX(Ангилал!$G$5:$G$16,MATCH(TRUE(),INDEX(ISNUMBER(SEARCH(Ангилал!$H$5:$H$16,$G75&amp;" "&amp;$D75&amp;" "&amp;$E75))+ISNUMBER(SEARCH(Ангилал!$I$5:$I$16,$G75&amp;" "&amp;$D75&amp;" "&amp;$E75))+ISNUMBER(SEARCH(Ангилал!$J$5:$J$16,$G75&amp;" "&amp;$D75&amp;" "&amp;$E75))+ISNUMBER(SEARCH(Ангилал!$K$5:$K$16,$G75&amp;" "&amp;$D75&amp;" "&amp;$E75))&gt;0,0),0)),"Ерөнхий нийт"))</f>
        <v>Хүүхэд</v>
      </c>
      <c r="Q75" s="2"/>
      <c r="R75" s="2" t="str">
        <f aca="false">IF($G75="","",IF($Q75&lt;&gt;"",$Q75,$P75))</f>
        <v>Хүүхэд</v>
      </c>
    </row>
    <row r="76" customFormat="false" ht="57.75" hidden="false" customHeight="true" outlineLevel="0" collapsed="false">
      <c r="A76" s="9" t="n">
        <v>59</v>
      </c>
      <c r="B76" s="10" t="s">
        <v>413</v>
      </c>
      <c r="C76" s="10" t="s">
        <v>413</v>
      </c>
      <c r="D76" s="11" t="s">
        <v>476</v>
      </c>
      <c r="E76" s="11" t="s">
        <v>477</v>
      </c>
      <c r="F76" s="10" t="s">
        <v>435</v>
      </c>
      <c r="G76" s="10" t="s">
        <v>478</v>
      </c>
      <c r="H76" s="10" t="s">
        <v>142</v>
      </c>
      <c r="I76" s="10" t="s">
        <v>479</v>
      </c>
      <c r="J76" s="10" t="s">
        <v>439</v>
      </c>
      <c r="K76" s="12" t="s">
        <v>480</v>
      </c>
      <c r="L76" s="10"/>
      <c r="M76" s="2" t="str">
        <f aca="false" t="array" ref="M76:M76">IF($G76="","",IFERROR(INDEX(Ангилал!$A$5:$A$22,MATCH(TRUE(),INDEX(ISNUMBER(SEARCH(Ангилал!$B$5:$B$22,$G76&amp;" "&amp;$D76))+ISNUMBER(SEARCH(Ангилал!$C$5:$C$22,$G76&amp;" "&amp;$D76))+IF(Ангилал!$D$5:$D$22="",0,ISNUMBER(SEARCH(Ангилал!$D$5:$D$22,$G76&amp;" "&amp;$D76)))+IF(Ангилал!$E$5:$E$22="",0,ISNUMBER(SEARCH(Ангилал!$E$5:$E$22,$G76&amp;" "&amp;$D76)))&gt;0,0),0)),"Бусад"))</f>
        <v>Нийгмийн хамгаалал, халамжийн эрх</v>
      </c>
      <c r="N76" s="2"/>
      <c r="O76" s="2" t="str">
        <f aca="false">IF($G76="","",IF($N76&lt;&gt;"",$N76,$M76))</f>
        <v>Нийгмийн хамгаалал, халамжийн эрх</v>
      </c>
      <c r="P76" s="2" t="str">
        <f aca="false" t="array" ref="P76:P76">IF($G76="","",IFERROR(INDEX(Ангилал!$G$5:$G$16,MATCH(TRUE(),INDEX(ISNUMBER(SEARCH(Ангилал!$H$5:$H$16,$G76&amp;" "&amp;$D76&amp;" "&amp;$E76))+ISNUMBER(SEARCH(Ангилал!$I$5:$I$16,$G76&amp;" "&amp;$D76&amp;" "&amp;$E76))+ISNUMBER(SEARCH(Ангилал!$J$5:$J$16,$G76&amp;" "&amp;$D76&amp;" "&amp;$E76))+ISNUMBER(SEARCH(Ангилал!$K$5:$K$16,$G76&amp;" "&amp;$D76&amp;" "&amp;$E76))&gt;0,0),0)),"Ерөнхий нийт"))</f>
        <v>Ерөнхий нийт</v>
      </c>
      <c r="Q76" s="2"/>
      <c r="R76" s="2" t="str">
        <f aca="false">IF($G76="","",IF($Q76&lt;&gt;"",$Q76,$P76))</f>
        <v>Ерөнхий нийт</v>
      </c>
    </row>
    <row r="77" customFormat="false" ht="57.75" hidden="false" customHeight="true" outlineLevel="0" collapsed="false">
      <c r="A77" s="9" t="n">
        <v>60</v>
      </c>
      <c r="B77" s="10" t="s">
        <v>455</v>
      </c>
      <c r="C77" s="10" t="s">
        <v>455</v>
      </c>
      <c r="D77" s="11" t="s">
        <v>481</v>
      </c>
      <c r="E77" s="11" t="s">
        <v>482</v>
      </c>
      <c r="F77" s="10" t="s">
        <v>331</v>
      </c>
      <c r="G77" s="10" t="s">
        <v>483</v>
      </c>
      <c r="H77" s="10" t="s">
        <v>484</v>
      </c>
      <c r="I77" s="10" t="s">
        <v>485</v>
      </c>
      <c r="J77" s="10" t="s">
        <v>439</v>
      </c>
      <c r="K77" s="12" t="s">
        <v>486</v>
      </c>
      <c r="L77" s="10"/>
      <c r="M77" s="2" t="str">
        <f aca="false" t="array" ref="M77:M77">IF($G77="","",IFERROR(INDEX(Ангилал!$A$5:$A$22,MATCH(TRUE(),INDEX(ISNUMBER(SEARCH(Ангилал!$B$5:$B$22,$G77&amp;" "&amp;$D77))+ISNUMBER(SEARCH(Ангилал!$C$5:$C$22,$G77&amp;" "&amp;$D77))+IF(Ангилал!$D$5:$D$22="",0,ISNUMBER(SEARCH(Ангилал!$D$5:$D$22,$G77&amp;" "&amp;$D77)))+IF(Ангилал!$E$5:$E$22="",0,ISNUMBER(SEARCH(Ангилал!$E$5:$E$22,$G77&amp;" "&amp;$D77)))&gt;0,0),0)),"Бусад"))</f>
        <v>Эрүүл мэндийн эрх</v>
      </c>
      <c r="N77" s="2"/>
      <c r="O77" s="2" t="str">
        <f aca="false">IF($G77="","",IF($N77&lt;&gt;"",$N77,$M77))</f>
        <v>Эрүүл мэндийн эрх</v>
      </c>
      <c r="P77" s="2" t="str">
        <f aca="false" t="array" ref="P77:P77">IF($G77="","",IFERROR(INDEX(Ангилал!$G$5:$G$16,MATCH(TRUE(),INDEX(ISNUMBER(SEARCH(Ангилал!$H$5:$H$16,$G77&amp;" "&amp;$D77&amp;" "&amp;$E77))+ISNUMBER(SEARCH(Ангилал!$I$5:$I$16,$G77&amp;" "&amp;$D77&amp;" "&amp;$E77))+ISNUMBER(SEARCH(Ангилал!$J$5:$J$16,$G77&amp;" "&amp;$D77&amp;" "&amp;$E77))+ISNUMBER(SEARCH(Ангилал!$K$5:$K$16,$G77&amp;" "&amp;$D77&amp;" "&amp;$E77))&gt;0,0),0)),"Ерөнхий нийт"))</f>
        <v>Ерөнхий нийт</v>
      </c>
      <c r="Q77" s="2"/>
      <c r="R77" s="2" t="str">
        <f aca="false">IF($G77="","",IF($Q77&lt;&gt;"",$Q77,$P77))</f>
        <v>Ерөнхий нийт</v>
      </c>
    </row>
    <row r="78" customFormat="false" ht="57.75" hidden="false" customHeight="true" outlineLevel="0" collapsed="false">
      <c r="A78" s="9" t="n">
        <v>61</v>
      </c>
      <c r="B78" s="10" t="s">
        <v>455</v>
      </c>
      <c r="C78" s="10" t="s">
        <v>455</v>
      </c>
      <c r="D78" s="11" t="s">
        <v>487</v>
      </c>
      <c r="E78" s="11" t="s">
        <v>488</v>
      </c>
      <c r="F78" s="10" t="s">
        <v>3</v>
      </c>
      <c r="G78" s="10" t="s">
        <v>489</v>
      </c>
      <c r="H78" s="10" t="s">
        <v>142</v>
      </c>
      <c r="I78" s="10" t="s">
        <v>490</v>
      </c>
      <c r="J78" s="10" t="s">
        <v>439</v>
      </c>
      <c r="K78" s="12" t="s">
        <v>491</v>
      </c>
      <c r="L78" s="10"/>
      <c r="M78" s="2" t="str">
        <f aca="false" t="array" ref="M78:M78">IF($G78="","",IFERROR(INDEX(Ангилал!$A$5:$A$22,MATCH(TRUE(),INDEX(ISNUMBER(SEARCH(Ангилал!$B$5:$B$22,$G78&amp;" "&amp;$D78))+ISNUMBER(SEARCH(Ангилал!$C$5:$C$22,$G78&amp;" "&amp;$D78))+IF(Ангилал!$D$5:$D$22="",0,ISNUMBER(SEARCH(Ангилал!$D$5:$D$22,$G78&amp;" "&amp;$D78)))+IF(Ангилал!$E$5:$E$22="",0,ISNUMBER(SEARCH(Ангилал!$E$5:$E$22,$G78&amp;" "&amp;$D78)))&gt;0,0),0)),"Бусад"))</f>
        <v>Шударга шүүхээр шүүлгэх эрх</v>
      </c>
      <c r="N78" s="2"/>
      <c r="O78" s="2" t="str">
        <f aca="false">IF($G78="","",IF($N78&lt;&gt;"",$N78,$M78))</f>
        <v>Шударга шүүхээр шүүлгэх эрх</v>
      </c>
      <c r="P78" s="2" t="str">
        <f aca="false" t="array" ref="P78:P78">IF($G78="","",IFERROR(INDEX(Ангилал!$G$5:$G$16,MATCH(TRUE(),INDEX(ISNUMBER(SEARCH(Ангилал!$H$5:$H$16,$G78&amp;" "&amp;$D78&amp;" "&amp;$E78))+ISNUMBER(SEARCH(Ангилал!$I$5:$I$16,$G78&amp;" "&amp;$D78&amp;" "&amp;$E78))+ISNUMBER(SEARCH(Ангилал!$J$5:$J$16,$G78&amp;" "&amp;$D78&amp;" "&amp;$E78))+ISNUMBER(SEARCH(Ангилал!$K$5:$K$16,$G78&amp;" "&amp;$D78&amp;" "&amp;$E78))&gt;0,0),0)),"Ерөнхий нийт"))</f>
        <v>Ерөнхий нийт</v>
      </c>
      <c r="Q78" s="2"/>
      <c r="R78" s="2" t="str">
        <f aca="false">IF($G78="","",IF($Q78&lt;&gt;"",$Q78,$P78))</f>
        <v>Ерөнхий нийт</v>
      </c>
    </row>
    <row r="79" customFormat="false" ht="26.25" hidden="false" customHeight="true" outlineLevel="0" collapsed="false">
      <c r="A79" s="8" t="s">
        <v>492</v>
      </c>
      <c r="B79" s="8"/>
      <c r="C79" s="8"/>
      <c r="D79" s="8"/>
      <c r="E79" s="8"/>
      <c r="F79" s="8"/>
      <c r="G79" s="8"/>
      <c r="H79" s="8"/>
      <c r="I79" s="8"/>
      <c r="J79" s="8"/>
      <c r="K79" s="8"/>
      <c r="L79" s="8"/>
      <c r="M79" s="2" t="str">
        <f aca="false" t="array" ref="M79:M79">IF($G79="","",IFERROR(INDEX(Ангилал!$A$5:$A$22,MATCH(TRUE(),INDEX(ISNUMBER(SEARCH(Ангилал!$B$5:$B$22,$G79&amp;" "&amp;$D79))+ISNUMBER(SEARCH(Ангилал!$C$5:$C$22,$G79&amp;" "&amp;$D79))+IF(Ангилал!$D$5:$D$22="",0,ISNUMBER(SEARCH(Ангилал!$D$5:$D$22,$G79&amp;" "&amp;$D79)))+IF(Ангилал!$E$5:$E$22="",0,ISNUMBER(SEARCH(Ангилал!$E$5:$E$22,$G79&amp;" "&amp;$D79)))&gt;0,0),0)),"Бусад"))</f>
        <v/>
      </c>
      <c r="N79" s="2"/>
      <c r="O79" s="2" t="str">
        <f aca="false">IF($G79="","",IF($N79&lt;&gt;"",$N79,$M79))</f>
        <v/>
      </c>
      <c r="P79" s="2" t="str">
        <f aca="false" t="array" ref="P79:P79">IF($G79="","",IFERROR(INDEX(Ангилал!$G$5:$G$16,MATCH(TRUE(),INDEX(ISNUMBER(SEARCH(Ангилал!$H$5:$H$16,$G79&amp;" "&amp;$D79&amp;" "&amp;$E79))+ISNUMBER(SEARCH(Ангилал!$I$5:$I$16,$G79&amp;" "&amp;$D79&amp;" "&amp;$E79))+ISNUMBER(SEARCH(Ангилал!$J$5:$J$16,$G79&amp;" "&amp;$D79&amp;" "&amp;$E79))+ISNUMBER(SEARCH(Ангилал!$K$5:$K$16,$G79&amp;" "&amp;$D79&amp;" "&amp;$E79))&gt;0,0),0)),"Ерөнхий нийт"))</f>
        <v/>
      </c>
      <c r="Q79" s="2"/>
      <c r="R79" s="2" t="str">
        <f aca="false">IF($G79="","",IF($Q79&lt;&gt;"",$Q79,$P79))</f>
        <v/>
      </c>
    </row>
    <row r="80" customFormat="false" ht="86.25" hidden="false" customHeight="true" outlineLevel="0" collapsed="false">
      <c r="A80" s="9" t="n">
        <v>62</v>
      </c>
      <c r="B80" s="10" t="s">
        <v>493</v>
      </c>
      <c r="C80" s="10" t="s">
        <v>494</v>
      </c>
      <c r="D80" s="11" t="s">
        <v>495</v>
      </c>
      <c r="E80" s="11" t="s">
        <v>496</v>
      </c>
      <c r="F80" s="10" t="s">
        <v>3</v>
      </c>
      <c r="G80" s="10" t="s">
        <v>497</v>
      </c>
      <c r="H80" s="10" t="s">
        <v>142</v>
      </c>
      <c r="I80" s="10" t="s">
        <v>142</v>
      </c>
      <c r="J80" s="10" t="s">
        <v>143</v>
      </c>
      <c r="K80" s="12" t="s">
        <v>498</v>
      </c>
      <c r="L80" s="10"/>
      <c r="M80" s="2" t="str">
        <f aca="false" t="array" ref="M80:M80">IF($G80="","",IFERROR(INDEX(Ангилал!$A$5:$A$22,MATCH(TRUE(),INDEX(ISNUMBER(SEARCH(Ангилал!$B$5:$B$22,$G80&amp;" "&amp;$D80))+ISNUMBER(SEARCH(Ангилал!$C$5:$C$22,$G80&amp;" "&amp;$D80))+IF(Ангилал!$D$5:$D$22="",0,ISNUMBER(SEARCH(Ангилал!$D$5:$D$22,$G80&amp;" "&amp;$D80)))+IF(Ангилал!$E$5:$E$22="",0,ISNUMBER(SEARCH(Ангилал!$E$5:$E$22,$G80&amp;" "&amp;$D80)))&gt;0,0),0)),"Бусад"))</f>
        <v>Амьд явах, халдашгүй байх эрх</v>
      </c>
      <c r="N80" s="2"/>
      <c r="O80" s="2" t="str">
        <f aca="false">IF($G80="","",IF($N80&lt;&gt;"",$N80,$M80))</f>
        <v>Амьд явах, халдашгүй байх эрх</v>
      </c>
      <c r="P80" s="2" t="str">
        <f aca="false" t="array" ref="P80:P80">IF($G80="","",IFERROR(INDEX(Ангилал!$G$5:$G$16,MATCH(TRUE(),INDEX(ISNUMBER(SEARCH(Ангилал!$H$5:$H$16,$G80&amp;" "&amp;$D80&amp;" "&amp;$E80))+ISNUMBER(SEARCH(Ангилал!$I$5:$I$16,$G80&amp;" "&amp;$D80&amp;" "&amp;$E80))+ISNUMBER(SEARCH(Ангилал!$J$5:$J$16,$G80&amp;" "&amp;$D80&amp;" "&amp;$E80))+ISNUMBER(SEARCH(Ангилал!$K$5:$K$16,$G80&amp;" "&amp;$D80&amp;" "&amp;$E80))&gt;0,0),0)),"Ерөнхий нийт"))</f>
        <v>Өвчтөн, эмчлүүлэгч</v>
      </c>
      <c r="Q80" s="2"/>
      <c r="R80" s="2" t="str">
        <f aca="false">IF($G80="","",IF($Q80&lt;&gt;"",$Q80,$P80))</f>
        <v>Өвчтөн, эмчлүүлэгч</v>
      </c>
    </row>
    <row r="81" customFormat="false" ht="43.5" hidden="false" customHeight="true" outlineLevel="0" collapsed="false">
      <c r="A81" s="9" t="n">
        <v>63</v>
      </c>
      <c r="B81" s="10" t="s">
        <v>499</v>
      </c>
      <c r="C81" s="10"/>
      <c r="D81" s="11" t="s">
        <v>500</v>
      </c>
      <c r="E81" s="11" t="s">
        <v>501</v>
      </c>
      <c r="F81" s="10" t="s">
        <v>502</v>
      </c>
      <c r="G81" s="10" t="s">
        <v>503</v>
      </c>
      <c r="H81" s="10" t="s">
        <v>504</v>
      </c>
      <c r="I81" s="10" t="s">
        <v>505</v>
      </c>
      <c r="J81" s="10" t="s">
        <v>506</v>
      </c>
      <c r="K81" s="12" t="s">
        <v>507</v>
      </c>
      <c r="L81" s="10"/>
      <c r="M81" s="2" t="str">
        <f aca="false" t="array" ref="M81:M81">IF($G81="","",IFERROR(INDEX(Ангилал!$A$5:$A$22,MATCH(TRUE(),INDEX(ISNUMBER(SEARCH(Ангилал!$B$5:$B$22,$G81&amp;" "&amp;$D81))+ISNUMBER(SEARCH(Ангилал!$C$5:$C$22,$G81&amp;" "&amp;$D81))+IF(Ангилал!$D$5:$D$22="",0,ISNUMBER(SEARCH(Ангилал!$D$5:$D$22,$G81&amp;" "&amp;$D81)))+IF(Ангилал!$E$5:$E$22="",0,ISNUMBER(SEARCH(Ангилал!$E$5:$E$22,$G81&amp;" "&amp;$D81)))&gt;0,0),0)),"Бусад"))</f>
        <v>Хүүхдийн эрх</v>
      </c>
      <c r="N81" s="2"/>
      <c r="O81" s="2" t="str">
        <f aca="false">IF($G81="","",IF($N81&lt;&gt;"",$N81,$M81))</f>
        <v>Хүүхдийн эрх</v>
      </c>
      <c r="P81" s="2" t="str">
        <f aca="false" t="array" ref="P81:P81">IF($G81="","",IFERROR(INDEX(Ангилал!$G$5:$G$16,MATCH(TRUE(),INDEX(ISNUMBER(SEARCH(Ангилал!$H$5:$H$16,$G81&amp;" "&amp;$D81&amp;" "&amp;$E81))+ISNUMBER(SEARCH(Ангилал!$I$5:$I$16,$G81&amp;" "&amp;$D81&amp;" "&amp;$E81))+ISNUMBER(SEARCH(Ангилал!$J$5:$J$16,$G81&amp;" "&amp;$D81&amp;" "&amp;$E81))+ISNUMBER(SEARCH(Ангилал!$K$5:$K$16,$G81&amp;" "&amp;$D81&amp;" "&amp;$E81))&gt;0,0),0)),"Ерөнхий нийт"))</f>
        <v>Хүүхэд</v>
      </c>
      <c r="Q81" s="2"/>
      <c r="R81" s="2" t="str">
        <f aca="false">IF($G81="","",IF($Q81&lt;&gt;"",$Q81,$P81))</f>
        <v>Хүүхэд</v>
      </c>
    </row>
    <row r="82" customFormat="false" ht="26.25" hidden="false" customHeight="true" outlineLevel="0" collapsed="false">
      <c r="A82" s="8" t="s">
        <v>508</v>
      </c>
      <c r="B82" s="8"/>
      <c r="C82" s="8"/>
      <c r="D82" s="8"/>
      <c r="E82" s="8"/>
      <c r="F82" s="8"/>
      <c r="G82" s="8"/>
      <c r="H82" s="8"/>
      <c r="I82" s="8"/>
      <c r="J82" s="8"/>
      <c r="K82" s="8"/>
      <c r="L82" s="8"/>
      <c r="M82" s="2" t="str">
        <f aca="false" t="array" ref="M82:M82">IF($G82="","",IFERROR(INDEX(Ангилал!$A$5:$A$22,MATCH(TRUE(),INDEX(ISNUMBER(SEARCH(Ангилал!$B$5:$B$22,$G82&amp;" "&amp;$D82))+ISNUMBER(SEARCH(Ангилал!$C$5:$C$22,$G82&amp;" "&amp;$D82))+IF(Ангилал!$D$5:$D$22="",0,ISNUMBER(SEARCH(Ангилал!$D$5:$D$22,$G82&amp;" "&amp;$D82)))+IF(Ангилал!$E$5:$E$22="",0,ISNUMBER(SEARCH(Ангилал!$E$5:$E$22,$G82&amp;" "&amp;$D82)))&gt;0,0),0)),"Бусад"))</f>
        <v/>
      </c>
      <c r="N82" s="2"/>
      <c r="O82" s="2" t="str">
        <f aca="false">IF($G82="","",IF($N82&lt;&gt;"",$N82,$M82))</f>
        <v/>
      </c>
      <c r="P82" s="2" t="str">
        <f aca="false" t="array" ref="P82:P82">IF($G82="","",IFERROR(INDEX(Ангилал!$G$5:$G$16,MATCH(TRUE(),INDEX(ISNUMBER(SEARCH(Ангилал!$H$5:$H$16,$G82&amp;" "&amp;$D82&amp;" "&amp;$E82))+ISNUMBER(SEARCH(Ангилал!$I$5:$I$16,$G82&amp;" "&amp;$D82&amp;" "&amp;$E82))+ISNUMBER(SEARCH(Ангилал!$J$5:$J$16,$G82&amp;" "&amp;$D82&amp;" "&amp;$E82))+ISNUMBER(SEARCH(Ангилал!$K$5:$K$16,$G82&amp;" "&amp;$D82&amp;" "&amp;$E82))&gt;0,0),0)),"Ерөнхий нийт"))</f>
        <v/>
      </c>
      <c r="Q82" s="2"/>
      <c r="R82" s="2" t="str">
        <f aca="false">IF($G82="","",IF($Q82&lt;&gt;"",$Q82,$P82))</f>
        <v/>
      </c>
    </row>
    <row r="83" customFormat="false" ht="72" hidden="false" customHeight="true" outlineLevel="0" collapsed="false">
      <c r="A83" s="9" t="n">
        <v>64</v>
      </c>
      <c r="B83" s="10" t="s">
        <v>509</v>
      </c>
      <c r="C83" s="10" t="s">
        <v>510</v>
      </c>
      <c r="D83" s="11" t="s">
        <v>511</v>
      </c>
      <c r="E83" s="11" t="s">
        <v>512</v>
      </c>
      <c r="F83" s="10" t="s">
        <v>331</v>
      </c>
      <c r="G83" s="10" t="s">
        <v>513</v>
      </c>
      <c r="H83" s="10" t="s">
        <v>514</v>
      </c>
      <c r="I83" s="10" t="s">
        <v>515</v>
      </c>
      <c r="J83" s="10" t="s">
        <v>506</v>
      </c>
      <c r="K83" s="12" t="s">
        <v>516</v>
      </c>
      <c r="L83" s="10"/>
      <c r="M83" s="2" t="str">
        <f aca="false" t="array" ref="M83:M83">IF($G83="","",IFERROR(INDEX(Ангилал!$A$5:$A$22,MATCH(TRUE(),INDEX(ISNUMBER(SEARCH(Ангилал!$B$5:$B$22,$G83&amp;" "&amp;$D83))+ISNUMBER(SEARCH(Ангилал!$C$5:$C$22,$G83&amp;" "&amp;$D83))+IF(Ангилал!$D$5:$D$22="",0,ISNUMBER(SEARCH(Ангилал!$D$5:$D$22,$G83&amp;" "&amp;$D83)))+IF(Ангилал!$E$5:$E$22="",0,ISNUMBER(SEARCH(Ангилал!$E$5:$E$22,$G83&amp;" "&amp;$D83)))&gt;0,0),0)),"Бусад"))</f>
        <v>Хүүхдийн эрх</v>
      </c>
      <c r="N83" s="2"/>
      <c r="O83" s="2" t="str">
        <f aca="false">IF($G83="","",IF($N83&lt;&gt;"",$N83,$M83))</f>
        <v>Хүүхдийн эрх</v>
      </c>
      <c r="P83" s="2" t="str">
        <f aca="false" t="array" ref="P83:P83">IF($G83="","",IFERROR(INDEX(Ангилал!$G$5:$G$16,MATCH(TRUE(),INDEX(ISNUMBER(SEARCH(Ангилал!$H$5:$H$16,$G83&amp;" "&amp;$D83&amp;" "&amp;$E83))+ISNUMBER(SEARCH(Ангилал!$I$5:$I$16,$G83&amp;" "&amp;$D83&amp;" "&amp;$E83))+ISNUMBER(SEARCH(Ангилал!$J$5:$J$16,$G83&amp;" "&amp;$D83&amp;" "&amp;$E83))+ISNUMBER(SEARCH(Ангилал!$K$5:$K$16,$G83&amp;" "&amp;$D83&amp;" "&amp;$E83))&gt;0,0),0)),"Ерөнхий нийт"))</f>
        <v>Хүүхэд</v>
      </c>
      <c r="Q83" s="2"/>
      <c r="R83" s="2" t="str">
        <f aca="false">IF($G83="","",IF($Q83&lt;&gt;"",$Q83,$P83))</f>
        <v>Хүүхэд</v>
      </c>
    </row>
    <row r="84" customFormat="false" ht="72" hidden="false" customHeight="true" outlineLevel="0" collapsed="false">
      <c r="A84" s="9" t="n">
        <v>65</v>
      </c>
      <c r="B84" s="10" t="s">
        <v>517</v>
      </c>
      <c r="C84" s="10" t="s">
        <v>518</v>
      </c>
      <c r="D84" s="11" t="s">
        <v>519</v>
      </c>
      <c r="E84" s="11" t="s">
        <v>520</v>
      </c>
      <c r="F84" s="10" t="s">
        <v>521</v>
      </c>
      <c r="G84" s="10" t="s">
        <v>522</v>
      </c>
      <c r="H84" s="10" t="s">
        <v>523</v>
      </c>
      <c r="I84" s="10" t="s">
        <v>524</v>
      </c>
      <c r="J84" s="10" t="s">
        <v>525</v>
      </c>
      <c r="K84" s="12" t="s">
        <v>526</v>
      </c>
      <c r="L84" s="10"/>
      <c r="M84" s="2" t="str">
        <f aca="false" t="array" ref="M84:M84">IF($G84="","",IFERROR(INDEX(Ангилал!$A$5:$A$22,MATCH(TRUE(),INDEX(ISNUMBER(SEARCH(Ангилал!$B$5:$B$22,$G84&amp;" "&amp;$D84))+ISNUMBER(SEARCH(Ангилал!$C$5:$C$22,$G84&amp;" "&amp;$D84))+IF(Ангилал!$D$5:$D$22="",0,ISNUMBER(SEARCH(Ангилал!$D$5:$D$22,$G84&amp;" "&amp;$D84)))+IF(Ангилал!$E$5:$E$22="",0,ISNUMBER(SEARCH(Ангилал!$E$5:$E$22,$G84&amp;" "&amp;$D84)))&gt;0,0),0)),"Бусад"))</f>
        <v>Хүүхдийн эрх</v>
      </c>
      <c r="N84" s="2"/>
      <c r="O84" s="2" t="str">
        <f aca="false">IF($G84="","",IF($N84&lt;&gt;"",$N84,$M84))</f>
        <v>Хүүхдийн эрх</v>
      </c>
      <c r="P84" s="2" t="str">
        <f aca="false" t="array" ref="P84:P84">IF($G84="","",IFERROR(INDEX(Ангилал!$G$5:$G$16,MATCH(TRUE(),INDEX(ISNUMBER(SEARCH(Ангилал!$H$5:$H$16,$G84&amp;" "&amp;$D84&amp;" "&amp;$E84))+ISNUMBER(SEARCH(Ангилал!$I$5:$I$16,$G84&amp;" "&amp;$D84&amp;" "&amp;$E84))+ISNUMBER(SEARCH(Ангилал!$J$5:$J$16,$G84&amp;" "&amp;$D84&amp;" "&amp;$E84))+ISNUMBER(SEARCH(Ангилал!$K$5:$K$16,$G84&amp;" "&amp;$D84&amp;" "&amp;$E84))&gt;0,0),0)),"Ерөнхий нийт"))</f>
        <v>Хүүхэд</v>
      </c>
      <c r="Q84" s="2"/>
      <c r="R84" s="2" t="str">
        <f aca="false">IF($G84="","",IF($Q84&lt;&gt;"",$Q84,$P84))</f>
        <v>Хүүхэд</v>
      </c>
    </row>
    <row r="85" customFormat="false" ht="115.5" hidden="false" customHeight="true" outlineLevel="0" collapsed="false">
      <c r="A85" s="9" t="n">
        <v>66</v>
      </c>
      <c r="B85" s="10" t="s">
        <v>527</v>
      </c>
      <c r="C85" s="10" t="s">
        <v>527</v>
      </c>
      <c r="D85" s="11" t="s">
        <v>528</v>
      </c>
      <c r="E85" s="11" t="s">
        <v>529</v>
      </c>
      <c r="F85" s="10" t="s">
        <v>530</v>
      </c>
      <c r="G85" s="10" t="s">
        <v>531</v>
      </c>
      <c r="H85" s="10" t="s">
        <v>142</v>
      </c>
      <c r="I85" s="10" t="s">
        <v>142</v>
      </c>
      <c r="J85" s="10" t="s">
        <v>532</v>
      </c>
      <c r="K85" s="12" t="s">
        <v>533</v>
      </c>
      <c r="L85" s="10"/>
      <c r="M85" s="2" t="str">
        <f aca="false" t="array" ref="M85:M85">IF($G85="","",IFERROR(INDEX(Ангилал!$A$5:$A$22,MATCH(TRUE(),INDEX(ISNUMBER(SEARCH(Ангилал!$B$5:$B$22,$G85&amp;" "&amp;$D85))+ISNUMBER(SEARCH(Ангилал!$C$5:$C$22,$G85&amp;" "&amp;$D85))+IF(Ангилал!$D$5:$D$22="",0,ISNUMBER(SEARCH(Ангилал!$D$5:$D$22,$G85&amp;" "&amp;$D85)))+IF(Ангилал!$E$5:$E$22="",0,ISNUMBER(SEARCH(Ангилал!$E$5:$E$22,$G85&amp;" "&amp;$D85)))&gt;0,0),0)),"Бусад"))</f>
        <v>Хүүхдийн эрх</v>
      </c>
      <c r="N85" s="2"/>
      <c r="O85" s="2" t="str">
        <f aca="false">IF($G85="","",IF($N85&lt;&gt;"",$N85,$M85))</f>
        <v>Хүүхдийн эрх</v>
      </c>
      <c r="P85" s="2" t="str">
        <f aca="false" t="array" ref="P85:P85">IF($G85="","",IFERROR(INDEX(Ангилал!$G$5:$G$16,MATCH(TRUE(),INDEX(ISNUMBER(SEARCH(Ангилал!$H$5:$H$16,$G85&amp;" "&amp;$D85&amp;" "&amp;$E85))+ISNUMBER(SEARCH(Ангилал!$I$5:$I$16,$G85&amp;" "&amp;$D85&amp;" "&amp;$E85))+ISNUMBER(SEARCH(Ангилал!$J$5:$J$16,$G85&amp;" "&amp;$D85&amp;" "&amp;$E85))+ISNUMBER(SEARCH(Ангилал!$K$5:$K$16,$G85&amp;" "&amp;$D85&amp;" "&amp;$E85))&gt;0,0),0)),"Ерөнхий нийт"))</f>
        <v>Хүүхэд</v>
      </c>
      <c r="Q85" s="2"/>
      <c r="R85" s="2" t="str">
        <f aca="false">IF($G85="","",IF($Q85&lt;&gt;"",$Q85,$P85))</f>
        <v>Хүүхэд</v>
      </c>
    </row>
    <row r="86" customFormat="false" ht="26.25" hidden="false" customHeight="true" outlineLevel="0" collapsed="false">
      <c r="A86" s="8" t="s">
        <v>534</v>
      </c>
      <c r="B86" s="8"/>
      <c r="C86" s="8"/>
      <c r="D86" s="8"/>
      <c r="E86" s="8"/>
      <c r="F86" s="8"/>
      <c r="G86" s="8"/>
      <c r="H86" s="8"/>
      <c r="I86" s="8"/>
      <c r="J86" s="8"/>
      <c r="K86" s="8"/>
      <c r="L86" s="8"/>
      <c r="M86" s="2" t="str">
        <f aca="false" t="array" ref="M86:M86">IF($G86="","",IFERROR(INDEX(Ангилал!$A$5:$A$22,MATCH(TRUE(),INDEX(ISNUMBER(SEARCH(Ангилал!$B$5:$B$22,$G86&amp;" "&amp;$D86))+ISNUMBER(SEARCH(Ангилал!$C$5:$C$22,$G86&amp;" "&amp;$D86))+IF(Ангилал!$D$5:$D$22="",0,ISNUMBER(SEARCH(Ангилал!$D$5:$D$22,$G86&amp;" "&amp;$D86)))+IF(Ангилал!$E$5:$E$22="",0,ISNUMBER(SEARCH(Ангилал!$E$5:$E$22,$G86&amp;" "&amp;$D86)))&gt;0,0),0)),"Бусад"))</f>
        <v/>
      </c>
      <c r="N86" s="2"/>
      <c r="O86" s="2" t="str">
        <f aca="false">IF($G86="","",IF($N86&lt;&gt;"",$N86,$M86))</f>
        <v/>
      </c>
      <c r="P86" s="2" t="str">
        <f aca="false" t="array" ref="P86:P86">IF($G86="","",IFERROR(INDEX(Ангилал!$G$5:$G$16,MATCH(TRUE(),INDEX(ISNUMBER(SEARCH(Ангилал!$H$5:$H$16,$G86&amp;" "&amp;$D86&amp;" "&amp;$E86))+ISNUMBER(SEARCH(Ангилал!$I$5:$I$16,$G86&amp;" "&amp;$D86&amp;" "&amp;$E86))+ISNUMBER(SEARCH(Ангилал!$J$5:$J$16,$G86&amp;" "&amp;$D86&amp;" "&amp;$E86))+ISNUMBER(SEARCH(Ангилал!$K$5:$K$16,$G86&amp;" "&amp;$D86&amp;" "&amp;$E86))&gt;0,0),0)),"Ерөнхий нийт"))</f>
        <v/>
      </c>
      <c r="Q86" s="2"/>
      <c r="R86" s="2" t="str">
        <f aca="false">IF($G86="","",IF($Q86&lt;&gt;"",$Q86,$P86))</f>
        <v/>
      </c>
    </row>
    <row r="87" customFormat="false" ht="101.25" hidden="false" customHeight="true" outlineLevel="0" collapsed="false">
      <c r="A87" s="9" t="n">
        <v>67</v>
      </c>
      <c r="B87" s="10" t="s">
        <v>535</v>
      </c>
      <c r="C87" s="10" t="s">
        <v>536</v>
      </c>
      <c r="D87" s="11" t="s">
        <v>537</v>
      </c>
      <c r="E87" s="11" t="s">
        <v>538</v>
      </c>
      <c r="F87" s="10" t="s">
        <v>539</v>
      </c>
      <c r="G87" s="10" t="s">
        <v>540</v>
      </c>
      <c r="H87" s="10" t="s">
        <v>541</v>
      </c>
      <c r="I87" s="10" t="s">
        <v>542</v>
      </c>
      <c r="J87" s="10" t="s">
        <v>543</v>
      </c>
      <c r="K87" s="12" t="s">
        <v>544</v>
      </c>
      <c r="L87" s="10"/>
      <c r="M87" s="2" t="str">
        <f aca="false" t="array" ref="M87:M87">IF($G87="","",IFERROR(INDEX(Ангилал!$A$5:$A$22,MATCH(TRUE(),INDEX(ISNUMBER(SEARCH(Ангилал!$B$5:$B$22,$G87&amp;" "&amp;$D87))+ISNUMBER(SEARCH(Ангилал!$C$5:$C$22,$G87&amp;" "&amp;$D87))+IF(Ангилал!$D$5:$D$22="",0,ISNUMBER(SEARCH(Ангилал!$D$5:$D$22,$G87&amp;" "&amp;$D87)))+IF(Ангилал!$E$5:$E$22="",0,ISNUMBER(SEARCH(Ангилал!$E$5:$E$22,$G87&amp;" "&amp;$D87)))&gt;0,0),0)),"Бусад"))</f>
        <v>Амьд явах, халдашгүй байх эрх</v>
      </c>
      <c r="N87" s="2"/>
      <c r="O87" s="2" t="str">
        <f aca="false">IF($G87="","",IF($N87&lt;&gt;"",$N87,$M87))</f>
        <v>Амьд явах, халдашгүй байх эрх</v>
      </c>
      <c r="P87" s="2" t="str">
        <f aca="false" t="array" ref="P87:P87">IF($G87="","",IFERROR(INDEX(Ангилал!$G$5:$G$16,MATCH(TRUE(),INDEX(ISNUMBER(SEARCH(Ангилал!$H$5:$H$16,$G87&amp;" "&amp;$D87&amp;" "&amp;$E87))+ISNUMBER(SEARCH(Ангилал!$I$5:$I$16,$G87&amp;" "&amp;$D87&amp;" "&amp;$E87))+ISNUMBER(SEARCH(Ангилал!$J$5:$J$16,$G87&amp;" "&amp;$D87&amp;" "&amp;$E87))+ISNUMBER(SEARCH(Ангилал!$K$5:$K$16,$G87&amp;" "&amp;$D87&amp;" "&amp;$E87))&gt;0,0),0)),"Ерөнхий нийт"))</f>
        <v>Ерөнхий нийт</v>
      </c>
      <c r="Q87" s="2"/>
      <c r="R87" s="2" t="str">
        <f aca="false">IF($G87="","",IF($Q87&lt;&gt;"",$Q87,$P87))</f>
        <v>Ерөнхий нийт</v>
      </c>
    </row>
    <row r="88" customFormat="false" ht="57.75" hidden="false" customHeight="true" outlineLevel="0" collapsed="false">
      <c r="A88" s="9" t="n">
        <v>68</v>
      </c>
      <c r="B88" s="10" t="s">
        <v>545</v>
      </c>
      <c r="C88" s="10" t="s">
        <v>546</v>
      </c>
      <c r="D88" s="11" t="s">
        <v>547</v>
      </c>
      <c r="E88" s="11" t="s">
        <v>548</v>
      </c>
      <c r="F88" s="10" t="s">
        <v>95</v>
      </c>
      <c r="G88" s="10" t="s">
        <v>549</v>
      </c>
      <c r="H88" s="10" t="s">
        <v>550</v>
      </c>
      <c r="I88" s="10" t="s">
        <v>551</v>
      </c>
      <c r="J88" s="10" t="s">
        <v>552</v>
      </c>
      <c r="K88" s="12" t="s">
        <v>553</v>
      </c>
      <c r="L88" s="10"/>
      <c r="M88" s="2" t="str">
        <f aca="false" t="array" ref="M88:M88">IF($G88="","",IFERROR(INDEX(Ангилал!$A$5:$A$22,MATCH(TRUE(),INDEX(ISNUMBER(SEARCH(Ангилал!$B$5:$B$22,$G88&amp;" "&amp;$D88))+ISNUMBER(SEARCH(Ангилал!$C$5:$C$22,$G88&amp;" "&amp;$D88))+IF(Ангилал!$D$5:$D$22="",0,ISNUMBER(SEARCH(Ангилал!$D$5:$D$22,$G88&amp;" "&amp;$D88)))+IF(Ангилал!$E$5:$E$22="",0,ISNUMBER(SEARCH(Ангилал!$E$5:$E$22,$G88&amp;" "&amp;$D88)))&gt;0,0),0)),"Бусад"))</f>
        <v>Амьд явах, халдашгүй байх эрх</v>
      </c>
      <c r="N88" s="2"/>
      <c r="O88" s="2" t="str">
        <f aca="false">IF($G88="","",IF($N88&lt;&gt;"",$N88,$M88))</f>
        <v>Амьд явах, халдашгүй байх эрх</v>
      </c>
      <c r="P88" s="2" t="str">
        <f aca="false" t="array" ref="P88:P88">IF($G88="","",IFERROR(INDEX(Ангилал!$G$5:$G$16,MATCH(TRUE(),INDEX(ISNUMBER(SEARCH(Ангилал!$H$5:$H$16,$G88&amp;" "&amp;$D88&amp;" "&amp;$E88))+ISNUMBER(SEARCH(Ангилал!$I$5:$I$16,$G88&amp;" "&amp;$D88&amp;" "&amp;$E88))+ISNUMBER(SEARCH(Ангилал!$J$5:$J$16,$G88&amp;" "&amp;$D88&amp;" "&amp;$E88))+ISNUMBER(SEARCH(Ангилал!$K$5:$K$16,$G88&amp;" "&amp;$D88&amp;" "&amp;$E88))&gt;0,0),0)),"Ерөнхий нийт"))</f>
        <v>Ерөнхий нийт</v>
      </c>
      <c r="Q88" s="2"/>
      <c r="R88" s="2" t="str">
        <f aca="false">IF($G88="","",IF($Q88&lt;&gt;"",$Q88,$P88))</f>
        <v>Ерөнхий нийт</v>
      </c>
    </row>
    <row r="89" customFormat="false" ht="86.25" hidden="false" customHeight="true" outlineLevel="0" collapsed="false">
      <c r="A89" s="9" t="n">
        <v>69</v>
      </c>
      <c r="B89" s="10" t="s">
        <v>545</v>
      </c>
      <c r="C89" s="10" t="s">
        <v>554</v>
      </c>
      <c r="D89" s="11" t="s">
        <v>555</v>
      </c>
      <c r="E89" s="11" t="s">
        <v>556</v>
      </c>
      <c r="F89" s="10" t="s">
        <v>331</v>
      </c>
      <c r="G89" s="10" t="s">
        <v>557</v>
      </c>
      <c r="H89" s="10" t="s">
        <v>558</v>
      </c>
      <c r="I89" s="10" t="s">
        <v>559</v>
      </c>
      <c r="J89" s="10" t="s">
        <v>560</v>
      </c>
      <c r="K89" s="12" t="s">
        <v>561</v>
      </c>
      <c r="L89" s="10"/>
      <c r="M89" s="2" t="str">
        <f aca="false" t="array" ref="M89:M89">IF($G89="","",IFERROR(INDEX(Ангилал!$A$5:$A$22,MATCH(TRUE(),INDEX(ISNUMBER(SEARCH(Ангилал!$B$5:$B$22,$G89&amp;" "&amp;$D89))+ISNUMBER(SEARCH(Ангилал!$C$5:$C$22,$G89&amp;" "&amp;$D89))+IF(Ангилал!$D$5:$D$22="",0,ISNUMBER(SEARCH(Ангилал!$D$5:$D$22,$G89&amp;" "&amp;$D89)))+IF(Ангилал!$E$5:$E$22="",0,ISNUMBER(SEARCH(Ангилал!$E$5:$E$22,$G89&amp;" "&amp;$D89)))&gt;0,0),0)),"Бусад"))</f>
        <v>Үзэл бодлоо илэрхийлэх, мэдээллийн эрх</v>
      </c>
      <c r="N89" s="2"/>
      <c r="O89" s="2" t="str">
        <f aca="false">IF($G89="","",IF($N89&lt;&gt;"",$N89,$M89))</f>
        <v>Үзэл бодлоо илэрхийлэх, мэдээллийн эрх</v>
      </c>
      <c r="P89" s="2" t="str">
        <f aca="false" t="array" ref="P89:P89">IF($G89="","",IFERROR(INDEX(Ангилал!$G$5:$G$16,MATCH(TRUE(),INDEX(ISNUMBER(SEARCH(Ангилал!$H$5:$H$16,$G89&amp;" "&amp;$D89&amp;" "&amp;$E89))+ISNUMBER(SEARCH(Ангилал!$I$5:$I$16,$G89&amp;" "&amp;$D89&amp;" "&amp;$E89))+ISNUMBER(SEARCH(Ангилал!$J$5:$J$16,$G89&amp;" "&amp;$D89&amp;" "&amp;$E89))+ISNUMBER(SEARCH(Ангилал!$K$5:$K$16,$G89&amp;" "&amp;$D89&amp;" "&amp;$E89))&gt;0,0),0)),"Ерөнхий нийт"))</f>
        <v>Ерөнхий нийт</v>
      </c>
      <c r="Q89" s="2"/>
      <c r="R89" s="2" t="str">
        <f aca="false">IF($G89="","",IF($Q89&lt;&gt;"",$Q89,$P89))</f>
        <v>Ерөнхий нийт</v>
      </c>
    </row>
    <row r="90" customFormat="false" ht="43.5" hidden="false" customHeight="true" outlineLevel="0" collapsed="false">
      <c r="A90" s="9" t="n">
        <v>70</v>
      </c>
      <c r="B90" s="10" t="s">
        <v>545</v>
      </c>
      <c r="C90" s="10" t="s">
        <v>545</v>
      </c>
      <c r="D90" s="11" t="s">
        <v>562</v>
      </c>
      <c r="E90" s="11" t="s">
        <v>563</v>
      </c>
      <c r="F90" s="10" t="s">
        <v>331</v>
      </c>
      <c r="G90" s="10" t="s">
        <v>564</v>
      </c>
      <c r="H90" s="10" t="s">
        <v>565</v>
      </c>
      <c r="I90" s="10" t="s">
        <v>566</v>
      </c>
      <c r="J90" s="10" t="s">
        <v>567</v>
      </c>
      <c r="K90" s="12" t="s">
        <v>568</v>
      </c>
      <c r="L90" s="10"/>
      <c r="M90" s="2" t="str">
        <f aca="false" t="array" ref="M90:M90">IF($G90="","",IFERROR(INDEX(Ангилал!$A$5:$A$22,MATCH(TRUE(),INDEX(ISNUMBER(SEARCH(Ангилал!$B$5:$B$22,$G90&amp;" "&amp;$D90))+ISNUMBER(SEARCH(Ангилал!$C$5:$C$22,$G90&amp;" "&amp;$D90))+IF(Ангилал!$D$5:$D$22="",0,ISNUMBER(SEARCH(Ангилал!$D$5:$D$22,$G90&amp;" "&amp;$D90)))+IF(Ангилал!$E$5:$E$22="",0,ISNUMBER(SEARCH(Ангилал!$E$5:$E$22,$G90&amp;" "&amp;$D90)))&gt;0,0),0)),"Бусад"))</f>
        <v>Эрүүл, аюулгүй орчинд амьдрах эрх</v>
      </c>
      <c r="N90" s="2"/>
      <c r="O90" s="2" t="str">
        <f aca="false">IF($G90="","",IF($N90&lt;&gt;"",$N90,$M90))</f>
        <v>Эрүүл, аюулгүй орчинд амьдрах эрх</v>
      </c>
      <c r="P90" s="2" t="str">
        <f aca="false" t="array" ref="P90:P90">IF($G90="","",IFERROR(INDEX(Ангилал!$G$5:$G$16,MATCH(TRUE(),INDEX(ISNUMBER(SEARCH(Ангилал!$H$5:$H$16,$G90&amp;" "&amp;$D90&amp;" "&amp;$E90))+ISNUMBER(SEARCH(Ангилал!$I$5:$I$16,$G90&amp;" "&amp;$D90&amp;" "&amp;$E90))+ISNUMBER(SEARCH(Ангилал!$J$5:$J$16,$G90&amp;" "&amp;$D90&amp;" "&amp;$E90))+ISNUMBER(SEARCH(Ангилал!$K$5:$K$16,$G90&amp;" "&amp;$D90&amp;" "&amp;$E90))&gt;0,0),0)),"Ерөнхий нийт"))</f>
        <v>Ерөнхий нийт</v>
      </c>
      <c r="Q90" s="2"/>
      <c r="R90" s="2" t="str">
        <f aca="false">IF($G90="","",IF($Q90&lt;&gt;"",$Q90,$P90))</f>
        <v>Ерөнхий нийт</v>
      </c>
    </row>
    <row r="91" customFormat="false" ht="57.75" hidden="false" customHeight="true" outlineLevel="0" collapsed="false">
      <c r="A91" s="9" t="n">
        <v>71</v>
      </c>
      <c r="B91" s="10" t="s">
        <v>535</v>
      </c>
      <c r="C91" s="10" t="s">
        <v>569</v>
      </c>
      <c r="D91" s="11" t="s">
        <v>570</v>
      </c>
      <c r="E91" s="11" t="s">
        <v>571</v>
      </c>
      <c r="F91" s="10" t="s">
        <v>572</v>
      </c>
      <c r="G91" s="10" t="s">
        <v>573</v>
      </c>
      <c r="H91" s="10" t="s">
        <v>574</v>
      </c>
      <c r="I91" s="10" t="s">
        <v>575</v>
      </c>
      <c r="J91" s="10" t="s">
        <v>567</v>
      </c>
      <c r="K91" s="12" t="s">
        <v>576</v>
      </c>
      <c r="L91" s="10"/>
      <c r="M91" s="2" t="str">
        <f aca="false" t="array" ref="M91:M91">IF($G91="","",IFERROR(INDEX(Ангилал!$A$5:$A$22,MATCH(TRUE(),INDEX(ISNUMBER(SEARCH(Ангилал!$B$5:$B$22,$G91&amp;" "&amp;$D91))+ISNUMBER(SEARCH(Ангилал!$C$5:$C$22,$G91&amp;" "&amp;$D91))+IF(Ангилал!$D$5:$D$22="",0,ISNUMBER(SEARCH(Ангилал!$D$5:$D$22,$G91&amp;" "&amp;$D91)))+IF(Ангилал!$E$5:$E$22="",0,ISNUMBER(SEARCH(Ангилал!$E$5:$E$22,$G91&amp;" "&amp;$D91)))&gt;0,0),0)),"Бусад"))</f>
        <v>Эрүүл, аюулгүй орчинд амьдрах эрх</v>
      </c>
      <c r="N91" s="2"/>
      <c r="O91" s="2" t="str">
        <f aca="false">IF($G91="","",IF($N91&lt;&gt;"",$N91,$M91))</f>
        <v>Эрүүл, аюулгүй орчинд амьдрах эрх</v>
      </c>
      <c r="P91" s="2" t="str">
        <f aca="false" t="array" ref="P91:P91">IF($G91="","",IFERROR(INDEX(Ангилал!$G$5:$G$16,MATCH(TRUE(),INDEX(ISNUMBER(SEARCH(Ангилал!$H$5:$H$16,$G91&amp;" "&amp;$D91&amp;" "&amp;$E91))+ISNUMBER(SEARCH(Ангилал!$I$5:$I$16,$G91&amp;" "&amp;$D91&amp;" "&amp;$E91))+ISNUMBER(SEARCH(Ангилал!$J$5:$J$16,$G91&amp;" "&amp;$D91&amp;" "&amp;$E91))+ISNUMBER(SEARCH(Ангилал!$K$5:$K$16,$G91&amp;" "&amp;$D91&amp;" "&amp;$E91))&gt;0,0),0)),"Ерөнхий нийт"))</f>
        <v>Ерөнхий нийт</v>
      </c>
      <c r="Q91" s="2"/>
      <c r="R91" s="2" t="str">
        <f aca="false">IF($G91="","",IF($Q91&lt;&gt;"",$Q91,$P91))</f>
        <v>Ерөнхий нийт</v>
      </c>
    </row>
    <row r="92" customFormat="false" ht="57.75" hidden="false" customHeight="true" outlineLevel="0" collapsed="false">
      <c r="A92" s="9" t="n">
        <v>72</v>
      </c>
      <c r="B92" s="10" t="s">
        <v>545</v>
      </c>
      <c r="C92" s="10" t="s">
        <v>535</v>
      </c>
      <c r="D92" s="11" t="s">
        <v>577</v>
      </c>
      <c r="E92" s="11" t="s">
        <v>578</v>
      </c>
      <c r="F92" s="10" t="s">
        <v>331</v>
      </c>
      <c r="G92" s="10" t="s">
        <v>579</v>
      </c>
      <c r="H92" s="10" t="s">
        <v>464</v>
      </c>
      <c r="I92" s="10" t="s">
        <v>580</v>
      </c>
      <c r="J92" s="10" t="s">
        <v>581</v>
      </c>
      <c r="K92" s="12" t="s">
        <v>582</v>
      </c>
      <c r="L92" s="10"/>
      <c r="M92" s="2" t="str">
        <f aca="false" t="array" ref="M92:M92">IF($G92="","",IFERROR(INDEX(Ангилал!$A$5:$A$22,MATCH(TRUE(),INDEX(ISNUMBER(SEARCH(Ангилал!$B$5:$B$22,$G92&amp;" "&amp;$D92))+ISNUMBER(SEARCH(Ангилал!$C$5:$C$22,$G92&amp;" "&amp;$D92))+IF(Ангилал!$D$5:$D$22="",0,ISNUMBER(SEARCH(Ангилал!$D$5:$D$22,$G92&amp;" "&amp;$D92)))+IF(Ангилал!$E$5:$E$22="",0,ISNUMBER(SEARCH(Ангилал!$E$5:$E$22,$G92&amp;" "&amp;$D92)))&gt;0,0),0)),"Бусад"))</f>
        <v>Амьд явах, халдашгүй байх эрх</v>
      </c>
      <c r="N92" s="2"/>
      <c r="O92" s="2" t="str">
        <f aca="false">IF($G92="","",IF($N92&lt;&gt;"",$N92,$M92))</f>
        <v>Амьд явах, халдашгүй байх эрх</v>
      </c>
      <c r="P92" s="2" t="str">
        <f aca="false" t="array" ref="P92:P92">IF($G92="","",IFERROR(INDEX(Ангилал!$G$5:$G$16,MATCH(TRUE(),INDEX(ISNUMBER(SEARCH(Ангилал!$H$5:$H$16,$G92&amp;" "&amp;$D92&amp;" "&amp;$E92))+ISNUMBER(SEARCH(Ангилал!$I$5:$I$16,$G92&amp;" "&amp;$D92&amp;" "&amp;$E92))+ISNUMBER(SEARCH(Ангилал!$J$5:$J$16,$G92&amp;" "&amp;$D92&amp;" "&amp;$E92))+ISNUMBER(SEARCH(Ангилал!$K$5:$K$16,$G92&amp;" "&amp;$D92&amp;" "&amp;$E92))&gt;0,0),0)),"Ерөнхий нийт"))</f>
        <v>Хүүхэд</v>
      </c>
      <c r="Q92" s="2"/>
      <c r="R92" s="2" t="str">
        <f aca="false">IF($G92="","",IF($Q92&lt;&gt;"",$Q92,$P92))</f>
        <v>Хүүхэд</v>
      </c>
    </row>
    <row r="93" customFormat="false" ht="43.5" hidden="false" customHeight="true" outlineLevel="0" collapsed="false">
      <c r="A93" s="9" t="n">
        <v>73</v>
      </c>
      <c r="B93" s="10" t="s">
        <v>545</v>
      </c>
      <c r="C93" s="10" t="s">
        <v>583</v>
      </c>
      <c r="D93" s="11" t="s">
        <v>584</v>
      </c>
      <c r="E93" s="11" t="s">
        <v>585</v>
      </c>
      <c r="F93" s="10" t="s">
        <v>586</v>
      </c>
      <c r="G93" s="10" t="s">
        <v>587</v>
      </c>
      <c r="H93" s="10" t="s">
        <v>588</v>
      </c>
      <c r="I93" s="10" t="s">
        <v>589</v>
      </c>
      <c r="J93" s="10" t="s">
        <v>439</v>
      </c>
      <c r="K93" s="12" t="s">
        <v>590</v>
      </c>
      <c r="L93" s="10"/>
      <c r="M93" s="2" t="str">
        <f aca="false" t="array" ref="M93:M93">IF($G93="","",IFERROR(INDEX(Ангилал!$A$5:$A$22,MATCH(TRUE(),INDEX(ISNUMBER(SEARCH(Ангилал!$B$5:$B$22,$G93&amp;" "&amp;$D93))+ISNUMBER(SEARCH(Ангилал!$C$5:$C$22,$G93&amp;" "&amp;$D93))+IF(Ангилал!$D$5:$D$22="",0,ISNUMBER(SEARCH(Ангилал!$D$5:$D$22,$G93&amp;" "&amp;$D93)))+IF(Ангилал!$E$5:$E$22="",0,ISNUMBER(SEARCH(Ангилал!$E$5:$E$22,$G93&amp;" "&amp;$D93)))&gt;0,0),0)),"Бусад"))</f>
        <v>Эрүүл мэндийн эрх</v>
      </c>
      <c r="N93" s="2"/>
      <c r="O93" s="2" t="str">
        <f aca="false">IF($G93="","",IF($N93&lt;&gt;"",$N93,$M93))</f>
        <v>Эрүүл мэндийн эрх</v>
      </c>
      <c r="P93" s="2" t="str">
        <f aca="false" t="array" ref="P93:P93">IF($G93="","",IFERROR(INDEX(Ангилал!$G$5:$G$16,MATCH(TRUE(),INDEX(ISNUMBER(SEARCH(Ангилал!$H$5:$H$16,$G93&amp;" "&amp;$D93&amp;" "&amp;$E93))+ISNUMBER(SEARCH(Ангилал!$I$5:$I$16,$G93&amp;" "&amp;$D93&amp;" "&amp;$E93))+ISNUMBER(SEARCH(Ангилал!$J$5:$J$16,$G93&amp;" "&amp;$D93&amp;" "&amp;$E93))+ISNUMBER(SEARCH(Ангилал!$K$5:$K$16,$G93&amp;" "&amp;$D93&amp;" "&amp;$E93))&gt;0,0),0)),"Ерөнхий нийт"))</f>
        <v>Ерөнхий нийт</v>
      </c>
      <c r="Q93" s="2"/>
      <c r="R93" s="2" t="str">
        <f aca="false">IF($G93="","",IF($Q93&lt;&gt;"",$Q93,$P93))</f>
        <v>Ерөнхий нийт</v>
      </c>
    </row>
    <row r="94" customFormat="false" ht="26.25" hidden="false" customHeight="true" outlineLevel="0" collapsed="false">
      <c r="A94" s="8" t="s">
        <v>591</v>
      </c>
      <c r="B94" s="8"/>
      <c r="C94" s="8"/>
      <c r="D94" s="8"/>
      <c r="E94" s="8"/>
      <c r="F94" s="8"/>
      <c r="G94" s="8"/>
      <c r="H94" s="8"/>
      <c r="I94" s="8"/>
      <c r="J94" s="8"/>
      <c r="K94" s="8"/>
      <c r="L94" s="8"/>
      <c r="M94" s="2" t="str">
        <f aca="false" t="array" ref="M94:M94">IF($G94="","",IFERROR(INDEX(Ангилал!$A$5:$A$22,MATCH(TRUE(),INDEX(ISNUMBER(SEARCH(Ангилал!$B$5:$B$22,$G94&amp;" "&amp;$D94))+ISNUMBER(SEARCH(Ангилал!$C$5:$C$22,$G94&amp;" "&amp;$D94))+IF(Ангилал!$D$5:$D$22="",0,ISNUMBER(SEARCH(Ангилал!$D$5:$D$22,$G94&amp;" "&amp;$D94)))+IF(Ангилал!$E$5:$E$22="",0,ISNUMBER(SEARCH(Ангилал!$E$5:$E$22,$G94&amp;" "&amp;$D94)))&gt;0,0),0)),"Бусад"))</f>
        <v/>
      </c>
      <c r="N94" s="2"/>
      <c r="O94" s="2" t="str">
        <f aca="false">IF($G94="","",IF($N94&lt;&gt;"",$N94,$M94))</f>
        <v/>
      </c>
      <c r="P94" s="2" t="str">
        <f aca="false" t="array" ref="P94:P94">IF($G94="","",IFERROR(INDEX(Ангилал!$G$5:$G$16,MATCH(TRUE(),INDEX(ISNUMBER(SEARCH(Ангилал!$H$5:$H$16,$G94&amp;" "&amp;$D94&amp;" "&amp;$E94))+ISNUMBER(SEARCH(Ангилал!$I$5:$I$16,$G94&amp;" "&amp;$D94&amp;" "&amp;$E94))+ISNUMBER(SEARCH(Ангилал!$J$5:$J$16,$G94&amp;" "&amp;$D94&amp;" "&amp;$E94))+ISNUMBER(SEARCH(Ангилал!$K$5:$K$16,$G94&amp;" "&amp;$D94&amp;" "&amp;$E94))&gt;0,0),0)),"Ерөнхий нийт"))</f>
        <v/>
      </c>
      <c r="Q94" s="2"/>
      <c r="R94" s="2" t="str">
        <f aca="false">IF($G94="","",IF($Q94&lt;&gt;"",$Q94,$P94))</f>
        <v/>
      </c>
    </row>
    <row r="95" customFormat="false" ht="303.75" hidden="false" customHeight="true" outlineLevel="0" collapsed="false">
      <c r="A95" s="9" t="n">
        <v>74</v>
      </c>
      <c r="B95" s="10" t="s">
        <v>592</v>
      </c>
      <c r="C95" s="10" t="s">
        <v>592</v>
      </c>
      <c r="D95" s="11" t="s">
        <v>593</v>
      </c>
      <c r="E95" s="11" t="s">
        <v>594</v>
      </c>
      <c r="F95" s="10" t="s">
        <v>595</v>
      </c>
      <c r="G95" s="10" t="s">
        <v>596</v>
      </c>
      <c r="H95" s="10" t="s">
        <v>597</v>
      </c>
      <c r="I95" s="10" t="s">
        <v>142</v>
      </c>
      <c r="J95" s="10" t="s">
        <v>598</v>
      </c>
      <c r="K95" s="12" t="s">
        <v>599</v>
      </c>
      <c r="L95" s="10" t="s">
        <v>396</v>
      </c>
      <c r="M95" s="2" t="str">
        <f aca="false" t="array" ref="M95:M95">IF($G95="","",IFERROR(INDEX(Ангилал!$A$5:$A$22,MATCH(TRUE(),INDEX(ISNUMBER(SEARCH(Ангилал!$B$5:$B$22,$G95&amp;" "&amp;$D95))+ISNUMBER(SEARCH(Ангилал!$C$5:$C$22,$G95&amp;" "&amp;$D95))+IF(Ангилал!$D$5:$D$22="",0,ISNUMBER(SEARCH(Ангилал!$D$5:$D$22,$G95&amp;" "&amp;$D95)))+IF(Ангилал!$E$5:$E$22="",0,ISNUMBER(SEARCH(Ангилал!$E$5:$E$22,$G95&amp;" "&amp;$D95)))&gt;0,0),0)),"Бусад"))</f>
        <v>Хувийн нууц, халдашгүй байдал</v>
      </c>
      <c r="N95" s="2"/>
      <c r="O95" s="2" t="str">
        <f aca="false">IF($G95="","",IF($N95&lt;&gt;"",$N95,$M95))</f>
        <v>Хувийн нууц, халдашгүй байдал</v>
      </c>
      <c r="P95" s="2" t="str">
        <f aca="false" t="array" ref="P95:P95">IF($G95="","",IFERROR(INDEX(Ангилал!$G$5:$G$16,MATCH(TRUE(),INDEX(ISNUMBER(SEARCH(Ангилал!$H$5:$H$16,$G95&amp;" "&amp;$D95&amp;" "&amp;$E95))+ISNUMBER(SEARCH(Ангилал!$I$5:$I$16,$G95&amp;" "&amp;$D95&amp;" "&amp;$E95))+ISNUMBER(SEARCH(Ангилал!$J$5:$J$16,$G95&amp;" "&amp;$D95&amp;" "&amp;$E95))+ISNUMBER(SEARCH(Ангилал!$K$5:$K$16,$G95&amp;" "&amp;$D95&amp;" "&amp;$E95))&gt;0,0),0)),"Ерөнхий нийт"))</f>
        <v>Ерөнхий нийт</v>
      </c>
      <c r="Q95" s="2"/>
      <c r="R95" s="2" t="str">
        <f aca="false">IF($G95="","",IF($Q95&lt;&gt;"",$Q95,$P95))</f>
        <v>Ерөнхий нийт</v>
      </c>
    </row>
    <row r="96" customFormat="false" ht="144" hidden="false" customHeight="true" outlineLevel="0" collapsed="false">
      <c r="A96" s="9" t="n">
        <v>75</v>
      </c>
      <c r="B96" s="10" t="s">
        <v>592</v>
      </c>
      <c r="C96" s="10" t="s">
        <v>600</v>
      </c>
      <c r="D96" s="11" t="s">
        <v>601</v>
      </c>
      <c r="E96" s="11" t="s">
        <v>602</v>
      </c>
      <c r="F96" s="10" t="s">
        <v>603</v>
      </c>
      <c r="G96" s="10" t="s">
        <v>604</v>
      </c>
      <c r="H96" s="10" t="s">
        <v>605</v>
      </c>
      <c r="I96" s="10"/>
      <c r="J96" s="10" t="s">
        <v>606</v>
      </c>
      <c r="K96" s="12" t="s">
        <v>607</v>
      </c>
      <c r="L96" s="10" t="s">
        <v>396</v>
      </c>
      <c r="M96" s="2" t="str">
        <f aca="false" t="array" ref="M96:M96">IF($G96="","",IFERROR(INDEX(Ангилал!$A$5:$A$22,MATCH(TRUE(),INDEX(ISNUMBER(SEARCH(Ангилал!$B$5:$B$22,$G96&amp;" "&amp;$D96))+ISNUMBER(SEARCH(Ангилал!$C$5:$C$22,$G96&amp;" "&amp;$D96))+IF(Ангилал!$D$5:$D$22="",0,ISNUMBER(SEARCH(Ангилал!$D$5:$D$22,$G96&amp;" "&amp;$D96)))+IF(Ангилал!$E$5:$E$22="",0,ISNUMBER(SEARCH(Ангилал!$E$5:$E$22,$G96&amp;" "&amp;$D96)))&gt;0,0),0)),"Бусад"))</f>
        <v>Хөдөлмөрлөх эрх</v>
      </c>
      <c r="N96" s="2"/>
      <c r="O96" s="2" t="str">
        <f aca="false">IF($G96="","",IF($N96&lt;&gt;"",$N96,$M96))</f>
        <v>Хөдөлмөрлөх эрх</v>
      </c>
      <c r="P96" s="2" t="str">
        <f aca="false" t="array" ref="P96:P96">IF($G96="","",IFERROR(INDEX(Ангилал!$G$5:$G$16,MATCH(TRUE(),INDEX(ISNUMBER(SEARCH(Ангилал!$H$5:$H$16,$G96&amp;" "&amp;$D96&amp;" "&amp;$E96))+ISNUMBER(SEARCH(Ангилал!$I$5:$I$16,$G96&amp;" "&amp;$D96&amp;" "&amp;$E96))+ISNUMBER(SEARCH(Ангилал!$J$5:$J$16,$G96&amp;" "&amp;$D96&amp;" "&amp;$E96))+ISNUMBER(SEARCH(Ангилал!$K$5:$K$16,$G96&amp;" "&amp;$D96&amp;" "&amp;$E96))&gt;0,0),0)),"Ерөнхий нийт"))</f>
        <v>Хөгжлийн бэрхшээлтэй иргэд</v>
      </c>
      <c r="Q96" s="2"/>
      <c r="R96" s="2" t="str">
        <f aca="false">IF($G96="","",IF($Q96&lt;&gt;"",$Q96,$P96))</f>
        <v>Хөгжлийн бэрхшээлтэй иргэд</v>
      </c>
    </row>
    <row r="97" customFormat="false" ht="26.25" hidden="false" customHeight="true" outlineLevel="0" collapsed="false">
      <c r="A97" s="8" t="s">
        <v>608</v>
      </c>
      <c r="B97" s="8"/>
      <c r="C97" s="8"/>
      <c r="D97" s="8"/>
      <c r="E97" s="8"/>
      <c r="F97" s="8"/>
      <c r="G97" s="8"/>
      <c r="H97" s="8"/>
      <c r="I97" s="8"/>
      <c r="J97" s="8"/>
      <c r="K97" s="8"/>
      <c r="L97" s="8"/>
      <c r="M97" s="2" t="str">
        <f aca="false" t="array" ref="M97:M97">IF($G97="","",IFERROR(INDEX(Ангилал!$A$5:$A$22,MATCH(TRUE(),INDEX(ISNUMBER(SEARCH(Ангилал!$B$5:$B$22,$G97&amp;" "&amp;$D97))+ISNUMBER(SEARCH(Ангилал!$C$5:$C$22,$G97&amp;" "&amp;$D97))+IF(Ангилал!$D$5:$D$22="",0,ISNUMBER(SEARCH(Ангилал!$D$5:$D$22,$G97&amp;" "&amp;$D97)))+IF(Ангилал!$E$5:$E$22="",0,ISNUMBER(SEARCH(Ангилал!$E$5:$E$22,$G97&amp;" "&amp;$D97)))&gt;0,0),0)),"Бусад"))</f>
        <v/>
      </c>
      <c r="N97" s="2"/>
      <c r="O97" s="2" t="str">
        <f aca="false">IF($G97="","",IF($N97&lt;&gt;"",$N97,$M97))</f>
        <v/>
      </c>
      <c r="P97" s="2" t="str">
        <f aca="false" t="array" ref="P97:P97">IF($G97="","",IFERROR(INDEX(Ангилал!$G$5:$G$16,MATCH(TRUE(),INDEX(ISNUMBER(SEARCH(Ангилал!$H$5:$H$16,$G97&amp;" "&amp;$D97&amp;" "&amp;$E97))+ISNUMBER(SEARCH(Ангилал!$I$5:$I$16,$G97&amp;" "&amp;$D97&amp;" "&amp;$E97))+ISNUMBER(SEARCH(Ангилал!$J$5:$J$16,$G97&amp;" "&amp;$D97&amp;" "&amp;$E97))+ISNUMBER(SEARCH(Ангилал!$K$5:$K$16,$G97&amp;" "&amp;$D97&amp;" "&amp;$E97))&gt;0,0),0)),"Ерөнхий нийт"))</f>
        <v/>
      </c>
      <c r="Q97" s="2"/>
      <c r="R97" s="2" t="str">
        <f aca="false">IF($G97="","",IF($Q97&lt;&gt;"",$Q97,$P97))</f>
        <v/>
      </c>
    </row>
    <row r="98" customFormat="false" ht="333" hidden="false" customHeight="true" outlineLevel="0" collapsed="false">
      <c r="A98" s="9" t="n">
        <v>76</v>
      </c>
      <c r="B98" s="10" t="s">
        <v>609</v>
      </c>
      <c r="C98" s="10"/>
      <c r="D98" s="11" t="s">
        <v>610</v>
      </c>
      <c r="E98" s="11" t="s">
        <v>611</v>
      </c>
      <c r="F98" s="10" t="s">
        <v>3</v>
      </c>
      <c r="G98" s="10" t="s">
        <v>612</v>
      </c>
      <c r="H98" s="10" t="s">
        <v>613</v>
      </c>
      <c r="I98" s="10"/>
      <c r="J98" s="10" t="s">
        <v>614</v>
      </c>
      <c r="K98" s="12" t="s">
        <v>615</v>
      </c>
      <c r="L98" s="10"/>
      <c r="M98" s="2" t="str">
        <f aca="false" t="array" ref="M98:M98">IF($G98="","",IFERROR(INDEX(Ангилал!$A$5:$A$22,MATCH(TRUE(),INDEX(ISNUMBER(SEARCH(Ангилал!$B$5:$B$22,$G98&amp;" "&amp;$D98))+ISNUMBER(SEARCH(Ангилал!$C$5:$C$22,$G98&amp;" "&amp;$D98))+IF(Ангилал!$D$5:$D$22="",0,ISNUMBER(SEARCH(Ангилал!$D$5:$D$22,$G98&amp;" "&amp;$D98)))+IF(Ангилал!$E$5:$E$22="",0,ISNUMBER(SEARCH(Ангилал!$E$5:$E$22,$G98&amp;" "&amp;$D98)))&gt;0,0),0)),"Бусад"))</f>
        <v>Хүүхдийн эрх</v>
      </c>
      <c r="N98" s="2"/>
      <c r="O98" s="2" t="str">
        <f aca="false">IF($G98="","",IF($N98&lt;&gt;"",$N98,$M98))</f>
        <v>Хүүхдийн эрх</v>
      </c>
      <c r="P98" s="2" t="str">
        <f aca="false" t="array" ref="P98:P98">IF($G98="","",IFERROR(INDEX(Ангилал!$G$5:$G$16,MATCH(TRUE(),INDEX(ISNUMBER(SEARCH(Ангилал!$H$5:$H$16,$G98&amp;" "&amp;$D98&amp;" "&amp;$E98))+ISNUMBER(SEARCH(Ангилал!$I$5:$I$16,$G98&amp;" "&amp;$D98&amp;" "&amp;$E98))+ISNUMBER(SEARCH(Ангилал!$J$5:$J$16,$G98&amp;" "&amp;$D98&amp;" "&amp;$E98))+ISNUMBER(SEARCH(Ангилал!$K$5:$K$16,$G98&amp;" "&amp;$D98&amp;" "&amp;$E98))&gt;0,0),0)),"Ерөнхий нийт"))</f>
        <v>Хүүхэд</v>
      </c>
      <c r="Q98" s="2"/>
      <c r="R98" s="2" t="str">
        <f aca="false">IF($G98="","",IF($Q98&lt;&gt;"",$Q98,$P98))</f>
        <v>Хүүхэд</v>
      </c>
    </row>
    <row r="99" customFormat="false" ht="57.75" hidden="false" customHeight="true" outlineLevel="0" collapsed="false">
      <c r="A99" s="9" t="n">
        <v>77</v>
      </c>
      <c r="B99" s="10" t="s">
        <v>609</v>
      </c>
      <c r="C99" s="10"/>
      <c r="D99" s="11" t="s">
        <v>616</v>
      </c>
      <c r="E99" s="11" t="s">
        <v>617</v>
      </c>
      <c r="F99" s="10" t="s">
        <v>618</v>
      </c>
      <c r="G99" s="10" t="s">
        <v>619</v>
      </c>
      <c r="H99" s="10" t="s">
        <v>620</v>
      </c>
      <c r="I99" s="10" t="s">
        <v>621</v>
      </c>
      <c r="J99" s="10" t="s">
        <v>143</v>
      </c>
      <c r="K99" s="12" t="s">
        <v>622</v>
      </c>
      <c r="L99" s="10" t="s">
        <v>396</v>
      </c>
      <c r="M99" s="2" t="str">
        <f aca="false" t="array" ref="M99:M99">IF($G99="","",IFERROR(INDEX(Ангилал!$A$5:$A$22,MATCH(TRUE(),INDEX(ISNUMBER(SEARCH(Ангилал!$B$5:$B$22,$G99&amp;" "&amp;$D99))+ISNUMBER(SEARCH(Ангилал!$C$5:$C$22,$G99&amp;" "&amp;$D99))+IF(Ангилал!$D$5:$D$22="",0,ISNUMBER(SEARCH(Ангилал!$D$5:$D$22,$G99&amp;" "&amp;$D99)))+IF(Ангилал!$E$5:$E$22="",0,ISNUMBER(SEARCH(Ангилал!$E$5:$E$22,$G99&amp;" "&amp;$D99)))&gt;0,0),0)),"Бусад"))</f>
        <v>Хүчирхийлэл, бэлгийн дарамтаас ангид байх</v>
      </c>
      <c r="N99" s="2"/>
      <c r="O99" s="2" t="str">
        <f aca="false">IF($G99="","",IF($N99&lt;&gt;"",$N99,$M99))</f>
        <v>Хүчирхийлэл, бэлгийн дарамтаас ангид байх</v>
      </c>
      <c r="P99" s="2" t="str">
        <f aca="false" t="array" ref="P99:P99">IF($G99="","",IFERROR(INDEX(Ангилал!$G$5:$G$16,MATCH(TRUE(),INDEX(ISNUMBER(SEARCH(Ангилал!$H$5:$H$16,$G99&amp;" "&amp;$D99&amp;" "&amp;$E99))+ISNUMBER(SEARCH(Ангилал!$I$5:$I$16,$G99&amp;" "&amp;$D99&amp;" "&amp;$E99))+ISNUMBER(SEARCH(Ангилал!$J$5:$J$16,$G99&amp;" "&amp;$D99&amp;" "&amp;$E99))+ISNUMBER(SEARCH(Ангилал!$K$5:$K$16,$G99&amp;" "&amp;$D99&amp;" "&amp;$E99))&gt;0,0),0)),"Ерөнхий нийт"))</f>
        <v>Ерөнхий нийт</v>
      </c>
      <c r="Q99" s="2"/>
      <c r="R99" s="2" t="str">
        <f aca="false">IF($G99="","",IF($Q99&lt;&gt;"",$Q99,$P99))</f>
        <v>Ерөнхий нийт</v>
      </c>
    </row>
    <row r="100" customFormat="false" ht="57.75" hidden="false" customHeight="true" outlineLevel="0" collapsed="false">
      <c r="A100" s="9" t="n">
        <v>78</v>
      </c>
      <c r="B100" s="10" t="s">
        <v>623</v>
      </c>
      <c r="C100" s="10" t="s">
        <v>624</v>
      </c>
      <c r="D100" s="11" t="s">
        <v>625</v>
      </c>
      <c r="E100" s="11" t="s">
        <v>626</v>
      </c>
      <c r="F100" s="10" t="s">
        <v>627</v>
      </c>
      <c r="G100" s="10" t="s">
        <v>628</v>
      </c>
      <c r="H100" s="10" t="s">
        <v>629</v>
      </c>
      <c r="I100" s="10" t="s">
        <v>630</v>
      </c>
      <c r="J100" s="10" t="s">
        <v>631</v>
      </c>
      <c r="K100" s="12" t="s">
        <v>632</v>
      </c>
      <c r="L100" s="10" t="s">
        <v>633</v>
      </c>
      <c r="M100" s="2" t="str">
        <f aca="false" t="array" ref="M100:M100">IF($G100="","",IFERROR(INDEX(Ангилал!$A$5:$A$22,MATCH(TRUE(),INDEX(ISNUMBER(SEARCH(Ангилал!$B$5:$B$22,$G100&amp;" "&amp;$D100))+ISNUMBER(SEARCH(Ангилал!$C$5:$C$22,$G100&amp;" "&amp;$D100))+IF(Ангилал!$D$5:$D$22="",0,ISNUMBER(SEARCH(Ангилал!$D$5:$D$22,$G100&amp;" "&amp;$D100)))+IF(Ангилал!$E$5:$E$22="",0,ISNUMBER(SEARCH(Ангилал!$E$5:$E$22,$G100&amp;" "&amp;$D100)))&gt;0,0),0)),"Бусад"))</f>
        <v>Амьд явах, халдашгүй байх эрх</v>
      </c>
      <c r="N100" s="2"/>
      <c r="O100" s="2" t="str">
        <f aca="false">IF($G100="","",IF($N100&lt;&gt;"",$N100,$M100))</f>
        <v>Амьд явах, халдашгүй байх эрх</v>
      </c>
      <c r="P100" s="2" t="str">
        <f aca="false" t="array" ref="P100:P100">IF($G100="","",IFERROR(INDEX(Ангилал!$G$5:$G$16,MATCH(TRUE(),INDEX(ISNUMBER(SEARCH(Ангилал!$H$5:$H$16,$G100&amp;" "&amp;$D100&amp;" "&amp;$E100))+ISNUMBER(SEARCH(Ангилал!$I$5:$I$16,$G100&amp;" "&amp;$D100&amp;" "&amp;$E100))+ISNUMBER(SEARCH(Ангилал!$J$5:$J$16,$G100&amp;" "&amp;$D100&amp;" "&amp;$E100))+ISNUMBER(SEARCH(Ангилал!$K$5:$K$16,$G100&amp;" "&amp;$D100&amp;" "&amp;$E100))&gt;0,0),0)),"Ерөнхий нийт"))</f>
        <v>Сэтгүүлч, хүний эрхийн хамгаалагч</v>
      </c>
      <c r="Q100" s="2"/>
      <c r="R100" s="2" t="str">
        <f aca="false">IF($G100="","",IF($Q100&lt;&gt;"",$Q100,$P100))</f>
        <v>Сэтгүүлч, хүний эрхийн хамгаалагч</v>
      </c>
    </row>
    <row r="101" customFormat="false" ht="26.25" hidden="false" customHeight="true" outlineLevel="0" collapsed="false">
      <c r="A101" s="8" t="s">
        <v>634</v>
      </c>
      <c r="B101" s="8"/>
      <c r="C101" s="8"/>
      <c r="D101" s="8"/>
      <c r="E101" s="8"/>
      <c r="F101" s="8"/>
      <c r="G101" s="8"/>
      <c r="H101" s="8"/>
      <c r="I101" s="8"/>
      <c r="J101" s="8"/>
      <c r="K101" s="8"/>
      <c r="L101" s="8"/>
      <c r="M101" s="2" t="str">
        <f aca="false" t="array" ref="M101:M101">IF($G101="","",IFERROR(INDEX(Ангилал!$A$5:$A$22,MATCH(TRUE(),INDEX(ISNUMBER(SEARCH(Ангилал!$B$5:$B$22,$G101&amp;" "&amp;$D101))+ISNUMBER(SEARCH(Ангилал!$C$5:$C$22,$G101&amp;" "&amp;$D101))+IF(Ангилал!$D$5:$D$22="",0,ISNUMBER(SEARCH(Ангилал!$D$5:$D$22,$G101&amp;" "&amp;$D101)))+IF(Ангилал!$E$5:$E$22="",0,ISNUMBER(SEARCH(Ангилал!$E$5:$E$22,$G101&amp;" "&amp;$D101)))&gt;0,0),0)),"Бусад"))</f>
        <v/>
      </c>
      <c r="N101" s="2"/>
      <c r="O101" s="2" t="str">
        <f aca="false">IF($G101="","",IF($N101&lt;&gt;"",$N101,$M101))</f>
        <v/>
      </c>
      <c r="P101" s="2" t="str">
        <f aca="false" t="array" ref="P101:P101">IF($G101="","",IFERROR(INDEX(Ангилал!$G$5:$G$16,MATCH(TRUE(),INDEX(ISNUMBER(SEARCH(Ангилал!$H$5:$H$16,$G101&amp;" "&amp;$D101&amp;" "&amp;$E101))+ISNUMBER(SEARCH(Ангилал!$I$5:$I$16,$G101&amp;" "&amp;$D101&amp;" "&amp;$E101))+ISNUMBER(SEARCH(Ангилал!$J$5:$J$16,$G101&amp;" "&amp;$D101&amp;" "&amp;$E101))+ISNUMBER(SEARCH(Ангилал!$K$5:$K$16,$G101&amp;" "&amp;$D101&amp;" "&amp;$E101))&gt;0,0),0)),"Ерөнхий нийт"))</f>
        <v/>
      </c>
      <c r="Q101" s="2"/>
      <c r="R101" s="2" t="str">
        <f aca="false">IF($G101="","",IF($Q101&lt;&gt;"",$Q101,$P101))</f>
        <v/>
      </c>
    </row>
    <row r="102" customFormat="false" ht="43.5" hidden="false" customHeight="true" outlineLevel="0" collapsed="false">
      <c r="A102" s="9" t="n">
        <v>79</v>
      </c>
      <c r="B102" s="10" t="s">
        <v>635</v>
      </c>
      <c r="C102" s="10" t="s">
        <v>624</v>
      </c>
      <c r="D102" s="11" t="s">
        <v>636</v>
      </c>
      <c r="E102" s="11" t="s">
        <v>637</v>
      </c>
      <c r="F102" s="10" t="s">
        <v>638</v>
      </c>
      <c r="G102" s="10" t="s">
        <v>639</v>
      </c>
      <c r="H102" s="10" t="s">
        <v>640</v>
      </c>
      <c r="I102" s="10" t="s">
        <v>641</v>
      </c>
      <c r="J102" s="10" t="s">
        <v>642</v>
      </c>
      <c r="K102" s="12" t="s">
        <v>643</v>
      </c>
      <c r="L102" s="10"/>
      <c r="M102" s="2" t="str">
        <f aca="false" t="array" ref="M102:M102">IF($G102="","",IFERROR(INDEX(Ангилал!$A$5:$A$22,MATCH(TRUE(),INDEX(ISNUMBER(SEARCH(Ангилал!$B$5:$B$22,$G102&amp;" "&amp;$D102))+ISNUMBER(SEARCH(Ангилал!$C$5:$C$22,$G102&amp;" "&amp;$D102))+IF(Ангилал!$D$5:$D$22="",0,ISNUMBER(SEARCH(Ангилал!$D$5:$D$22,$G102&amp;" "&amp;$D102)))+IF(Ангилал!$E$5:$E$22="",0,ISNUMBER(SEARCH(Ангилал!$E$5:$E$22,$G102&amp;" "&amp;$D102)))&gt;0,0),0)),"Бусад"))</f>
        <v>Ялгаварлан гадуурхалтаас ангид байх, тэгш эрх</v>
      </c>
      <c r="N102" s="2"/>
      <c r="O102" s="2" t="str">
        <f aca="false">IF($G102="","",IF($N102&lt;&gt;"",$N102,$M102))</f>
        <v>Ялгаварлан гадуурхалтаас ангид байх, тэгш эрх</v>
      </c>
      <c r="P102" s="2" t="str">
        <f aca="false" t="array" ref="P102:P102">IF($G102="","",IFERROR(INDEX(Ангилал!$G$5:$G$16,MATCH(TRUE(),INDEX(ISNUMBER(SEARCH(Ангилал!$H$5:$H$16,$G102&amp;" "&amp;$D102&amp;" "&amp;$E102))+ISNUMBER(SEARCH(Ангилал!$I$5:$I$16,$G102&amp;" "&amp;$D102&amp;" "&amp;$E102))+ISNUMBER(SEARCH(Ангилал!$J$5:$J$16,$G102&amp;" "&amp;$D102&amp;" "&amp;$E102))+ISNUMBER(SEARCH(Ангилал!$K$5:$K$16,$G102&amp;" "&amp;$D102&amp;" "&amp;$E102))&gt;0,0),0)),"Ерөнхий нийт"))</f>
        <v>Хөгжлийн бэрхшээлтэй иргэд</v>
      </c>
      <c r="Q102" s="2"/>
      <c r="R102" s="2" t="str">
        <f aca="false">IF($G102="","",IF($Q102&lt;&gt;"",$Q102,$P102))</f>
        <v>Хөгжлийн бэрхшээлтэй иргэд</v>
      </c>
    </row>
    <row r="103" customFormat="false" ht="57.75" hidden="false" customHeight="true" outlineLevel="0" collapsed="false">
      <c r="A103" s="9" t="n">
        <v>80</v>
      </c>
      <c r="B103" s="10" t="s">
        <v>644</v>
      </c>
      <c r="C103" s="10" t="s">
        <v>624</v>
      </c>
      <c r="D103" s="11" t="s">
        <v>645</v>
      </c>
      <c r="E103" s="11" t="s">
        <v>646</v>
      </c>
      <c r="F103" s="10" t="s">
        <v>647</v>
      </c>
      <c r="G103" s="10" t="s">
        <v>648</v>
      </c>
      <c r="H103" s="10" t="s">
        <v>649</v>
      </c>
      <c r="I103" s="10" t="s">
        <v>650</v>
      </c>
      <c r="J103" s="10" t="s">
        <v>651</v>
      </c>
      <c r="K103" s="12" t="s">
        <v>652</v>
      </c>
      <c r="L103" s="10"/>
      <c r="M103" s="2" t="str">
        <f aca="false" t="array" ref="M103:M103">IF($G103="","",IFERROR(INDEX(Ангилал!$A$5:$A$22,MATCH(TRUE(),INDEX(ISNUMBER(SEARCH(Ангилал!$B$5:$B$22,$G103&amp;" "&amp;$D103))+ISNUMBER(SEARCH(Ангилал!$C$5:$C$22,$G103&amp;" "&amp;$D103))+IF(Ангилал!$D$5:$D$22="",0,ISNUMBER(SEARCH(Ангилал!$D$5:$D$22,$G103&amp;" "&amp;$D103)))+IF(Ангилал!$E$5:$E$22="",0,ISNUMBER(SEARCH(Ангилал!$E$5:$E$22,$G103&amp;" "&amp;$D103)))&gt;0,0),0)),"Бусад"))</f>
        <v>Амьд явах, халдашгүй байх эрх</v>
      </c>
      <c r="N103" s="2"/>
      <c r="O103" s="2" t="str">
        <f aca="false">IF($G103="","",IF($N103&lt;&gt;"",$N103,$M103))</f>
        <v>Амьд явах, халдашгүй байх эрх</v>
      </c>
      <c r="P103" s="2" t="str">
        <f aca="false" t="array" ref="P103:P103">IF($G103="","",IFERROR(INDEX(Ангилал!$G$5:$G$16,MATCH(TRUE(),INDEX(ISNUMBER(SEARCH(Ангилал!$H$5:$H$16,$G103&amp;" "&amp;$D103&amp;" "&amp;$E103))+ISNUMBER(SEARCH(Ангилал!$I$5:$I$16,$G103&amp;" "&amp;$D103&amp;" "&amp;$E103))+ISNUMBER(SEARCH(Ангилал!$J$5:$J$16,$G103&amp;" "&amp;$D103&amp;" "&amp;$E103))+ISNUMBER(SEARCH(Ангилал!$K$5:$K$16,$G103&amp;" "&amp;$D103&amp;" "&amp;$E103))&gt;0,0),0)),"Ерөнхий нийт"))</f>
        <v>Өвчтөн, эмчлүүлэгч</v>
      </c>
      <c r="Q103" s="2"/>
      <c r="R103" s="2" t="str">
        <f aca="false">IF($G103="","",IF($Q103&lt;&gt;"",$Q103,$P103))</f>
        <v>Өвчтөн, эмчлүүлэгч</v>
      </c>
    </row>
    <row r="104" customFormat="false" ht="72" hidden="false" customHeight="true" outlineLevel="0" collapsed="false">
      <c r="A104" s="9" t="n">
        <v>81</v>
      </c>
      <c r="B104" s="10" t="s">
        <v>644</v>
      </c>
      <c r="C104" s="10" t="s">
        <v>644</v>
      </c>
      <c r="D104" s="11" t="s">
        <v>653</v>
      </c>
      <c r="E104" s="11" t="s">
        <v>654</v>
      </c>
      <c r="F104" s="10" t="s">
        <v>3</v>
      </c>
      <c r="G104" s="10" t="s">
        <v>655</v>
      </c>
      <c r="H104" s="10" t="s">
        <v>656</v>
      </c>
      <c r="I104" s="10"/>
      <c r="J104" s="10" t="s">
        <v>657</v>
      </c>
      <c r="K104" s="12" t="s">
        <v>658</v>
      </c>
      <c r="L104" s="10"/>
      <c r="M104" s="2" t="str">
        <f aca="false" t="array" ref="M104:M104">IF($G104="","",IFERROR(INDEX(Ангилал!$A$5:$A$22,MATCH(TRUE(),INDEX(ISNUMBER(SEARCH(Ангилал!$B$5:$B$22,$G104&amp;" "&amp;$D104))+ISNUMBER(SEARCH(Ангилал!$C$5:$C$22,$G104&amp;" "&amp;$D104))+IF(Ангилал!$D$5:$D$22="",0,ISNUMBER(SEARCH(Ангилал!$D$5:$D$22,$G104&amp;" "&amp;$D104)))+IF(Ангилал!$E$5:$E$22="",0,ISNUMBER(SEARCH(Ангилал!$E$5:$E$22,$G104&amp;" "&amp;$D104)))&gt;0,0),0)),"Бусад"))</f>
        <v>Ялгаварлан гадуурхалтаас ангид байх, тэгш эрх</v>
      </c>
      <c r="N104" s="2"/>
      <c r="O104" s="2" t="str">
        <f aca="false">IF($G104="","",IF($N104&lt;&gt;"",$N104,$M104))</f>
        <v>Ялгаварлан гадуурхалтаас ангид байх, тэгш эрх</v>
      </c>
      <c r="P104" s="2" t="str">
        <f aca="false" t="array" ref="P104:P104">IF($G104="","",IFERROR(INDEX(Ангилал!$G$5:$G$16,MATCH(TRUE(),INDEX(ISNUMBER(SEARCH(Ангилал!$H$5:$H$16,$G104&amp;" "&amp;$D104&amp;" "&amp;$E104))+ISNUMBER(SEARCH(Ангилал!$I$5:$I$16,$G104&amp;" "&amp;$D104&amp;" "&amp;$E104))+ISNUMBER(SEARCH(Ангилал!$J$5:$J$16,$G104&amp;" "&amp;$D104&amp;" "&amp;$E104))+ISNUMBER(SEARCH(Ангилал!$K$5:$K$16,$G104&amp;" "&amp;$D104&amp;" "&amp;$E104))&gt;0,0),0)),"Ерөнхий нийт"))</f>
        <v>Ерөнхий нийт</v>
      </c>
      <c r="Q104" s="2"/>
      <c r="R104" s="2" t="str">
        <f aca="false">IF($G104="","",IF($Q104&lt;&gt;"",$Q104,$P104))</f>
        <v>Ерөнхий нийт</v>
      </c>
    </row>
    <row r="105" customFormat="false" ht="26.25" hidden="false" customHeight="true" outlineLevel="0" collapsed="false">
      <c r="A105" s="8" t="s">
        <v>659</v>
      </c>
      <c r="B105" s="8"/>
      <c r="C105" s="8"/>
      <c r="D105" s="8"/>
      <c r="E105" s="8"/>
      <c r="F105" s="8"/>
      <c r="G105" s="8"/>
      <c r="H105" s="8"/>
      <c r="I105" s="8"/>
      <c r="J105" s="8"/>
      <c r="K105" s="8"/>
      <c r="L105" s="8"/>
      <c r="M105" s="2" t="str">
        <f aca="false" t="array" ref="M105:M105">IF($G105="","",IFERROR(INDEX(Ангилал!$A$5:$A$22,MATCH(TRUE(),INDEX(ISNUMBER(SEARCH(Ангилал!$B$5:$B$22,$G105&amp;" "&amp;$D105))+ISNUMBER(SEARCH(Ангилал!$C$5:$C$22,$G105&amp;" "&amp;$D105))+IF(Ангилал!$D$5:$D$22="",0,ISNUMBER(SEARCH(Ангилал!$D$5:$D$22,$G105&amp;" "&amp;$D105)))+IF(Ангилал!$E$5:$E$22="",0,ISNUMBER(SEARCH(Ангилал!$E$5:$E$22,$G105&amp;" "&amp;$D105)))&gt;0,0),0)),"Бусад"))</f>
        <v/>
      </c>
      <c r="N105" s="2"/>
      <c r="O105" s="2" t="str">
        <f aca="false">IF($G105="","",IF($N105&lt;&gt;"",$N105,$M105))</f>
        <v/>
      </c>
      <c r="P105" s="2" t="str">
        <f aca="false" t="array" ref="P105:P105">IF($G105="","",IFERROR(INDEX(Ангилал!$G$5:$G$16,MATCH(TRUE(),INDEX(ISNUMBER(SEARCH(Ангилал!$H$5:$H$16,$G105&amp;" "&amp;$D105&amp;" "&amp;$E105))+ISNUMBER(SEARCH(Ангилал!$I$5:$I$16,$G105&amp;" "&amp;$D105&amp;" "&amp;$E105))+ISNUMBER(SEARCH(Ангилал!$J$5:$J$16,$G105&amp;" "&amp;$D105&amp;" "&amp;$E105))+ISNUMBER(SEARCH(Ангилал!$K$5:$K$16,$G105&amp;" "&amp;$D105&amp;" "&amp;$E105))&gt;0,0),0)),"Ерөнхий нийт"))</f>
        <v/>
      </c>
      <c r="Q105" s="2"/>
      <c r="R105" s="2" t="str">
        <f aca="false">IF($G105="","",IF($Q105&lt;&gt;"",$Q105,$P105))</f>
        <v/>
      </c>
    </row>
    <row r="106" customFormat="false" ht="57.75" hidden="false" customHeight="true" outlineLevel="0" collapsed="false">
      <c r="A106" s="9" t="n">
        <v>82</v>
      </c>
      <c r="B106" s="10" t="s">
        <v>660</v>
      </c>
      <c r="C106" s="10" t="s">
        <v>661</v>
      </c>
      <c r="D106" s="11" t="s">
        <v>662</v>
      </c>
      <c r="E106" s="11" t="s">
        <v>663</v>
      </c>
      <c r="F106" s="10" t="s">
        <v>664</v>
      </c>
      <c r="G106" s="10" t="s">
        <v>665</v>
      </c>
      <c r="H106" s="10" t="s">
        <v>666</v>
      </c>
      <c r="I106" s="10" t="s">
        <v>667</v>
      </c>
      <c r="J106" s="10" t="s">
        <v>668</v>
      </c>
      <c r="K106" s="12" t="s">
        <v>669</v>
      </c>
      <c r="L106" s="10"/>
      <c r="M106" s="2" t="str">
        <f aca="false" t="array" ref="M106:M106">IF($G106="","",IFERROR(INDEX(Ангилал!$A$5:$A$22,MATCH(TRUE(),INDEX(ISNUMBER(SEARCH(Ангилал!$B$5:$B$22,$G106&amp;" "&amp;$D106))+ISNUMBER(SEARCH(Ангилал!$C$5:$C$22,$G106&amp;" "&amp;$D106))+IF(Ангилал!$D$5:$D$22="",0,ISNUMBER(SEARCH(Ангилал!$D$5:$D$22,$G106&amp;" "&amp;$D106)))+IF(Ангилал!$E$5:$E$22="",0,ISNUMBER(SEARCH(Ангилал!$E$5:$E$22,$G106&amp;" "&amp;$D106)))&gt;0,0),0)),"Бусад"))</f>
        <v>Хүүхдийн эрх</v>
      </c>
      <c r="N106" s="2"/>
      <c r="O106" s="2" t="str">
        <f aca="false">IF($G106="","",IF($N106&lt;&gt;"",$N106,$M106))</f>
        <v>Хүүхдийн эрх</v>
      </c>
      <c r="P106" s="2" t="str">
        <f aca="false" t="array" ref="P106:P106">IF($G106="","",IFERROR(INDEX(Ангилал!$G$5:$G$16,MATCH(TRUE(),INDEX(ISNUMBER(SEARCH(Ангилал!$H$5:$H$16,$G106&amp;" "&amp;$D106&amp;" "&amp;$E106))+ISNUMBER(SEARCH(Ангилал!$I$5:$I$16,$G106&amp;" "&amp;$D106&amp;" "&amp;$E106))+ISNUMBER(SEARCH(Ангилал!$J$5:$J$16,$G106&amp;" "&amp;$D106&amp;" "&amp;$E106))+ISNUMBER(SEARCH(Ангилал!$K$5:$K$16,$G106&amp;" "&amp;$D106&amp;" "&amp;$E106))&gt;0,0),0)),"Ерөнхий нийт"))</f>
        <v>Хүүхэд</v>
      </c>
      <c r="Q106" s="2"/>
      <c r="R106" s="2" t="str">
        <f aca="false">IF($G106="","",IF($Q106&lt;&gt;"",$Q106,$P106))</f>
        <v>Хүүхэд</v>
      </c>
    </row>
    <row r="107" customFormat="false" ht="26.25" hidden="false" customHeight="true" outlineLevel="0" collapsed="false">
      <c r="A107" s="8" t="s">
        <v>670</v>
      </c>
      <c r="B107" s="8"/>
      <c r="C107" s="8"/>
      <c r="D107" s="8"/>
      <c r="E107" s="8"/>
      <c r="F107" s="8"/>
      <c r="G107" s="8"/>
      <c r="H107" s="8"/>
      <c r="I107" s="8"/>
      <c r="J107" s="8"/>
      <c r="K107" s="8"/>
      <c r="L107" s="8"/>
      <c r="M107" s="2" t="str">
        <f aca="false" t="array" ref="M107:M107">IF($G107="","",IFERROR(INDEX(Ангилал!$A$5:$A$22,MATCH(TRUE(),INDEX(ISNUMBER(SEARCH(Ангилал!$B$5:$B$22,$G107&amp;" "&amp;$D107))+ISNUMBER(SEARCH(Ангилал!$C$5:$C$22,$G107&amp;" "&amp;$D107))+IF(Ангилал!$D$5:$D$22="",0,ISNUMBER(SEARCH(Ангилал!$D$5:$D$22,$G107&amp;" "&amp;$D107)))+IF(Ангилал!$E$5:$E$22="",0,ISNUMBER(SEARCH(Ангилал!$E$5:$E$22,$G107&amp;" "&amp;$D107)))&gt;0,0),0)),"Бусад"))</f>
        <v/>
      </c>
      <c r="N107" s="2"/>
      <c r="O107" s="2" t="str">
        <f aca="false">IF($G107="","",IF($N107&lt;&gt;"",$N107,$M107))</f>
        <v/>
      </c>
      <c r="P107" s="2" t="str">
        <f aca="false" t="array" ref="P107:P107">IF($G107="","",IFERROR(INDEX(Ангилал!$G$5:$G$16,MATCH(TRUE(),INDEX(ISNUMBER(SEARCH(Ангилал!$H$5:$H$16,$G107&amp;" "&amp;$D107&amp;" "&amp;$E107))+ISNUMBER(SEARCH(Ангилал!$I$5:$I$16,$G107&amp;" "&amp;$D107&amp;" "&amp;$E107))+ISNUMBER(SEARCH(Ангилал!$J$5:$J$16,$G107&amp;" "&amp;$D107&amp;" "&amp;$E107))+ISNUMBER(SEARCH(Ангилал!$K$5:$K$16,$G107&amp;" "&amp;$D107&amp;" "&amp;$E107))&gt;0,0),0)),"Ерөнхий нийт"))</f>
        <v/>
      </c>
      <c r="Q107" s="2"/>
      <c r="R107" s="2" t="str">
        <f aca="false">IF($G107="","",IF($Q107&lt;&gt;"",$Q107,$P107))</f>
        <v/>
      </c>
    </row>
    <row r="108" customFormat="false" ht="57.75" hidden="false" customHeight="true" outlineLevel="0" collapsed="false">
      <c r="A108" s="9" t="n">
        <v>83</v>
      </c>
      <c r="B108" s="10" t="s">
        <v>671</v>
      </c>
      <c r="C108" s="10" t="s">
        <v>672</v>
      </c>
      <c r="D108" s="11" t="s">
        <v>673</v>
      </c>
      <c r="E108" s="11" t="s">
        <v>674</v>
      </c>
      <c r="F108" s="10" t="s">
        <v>435</v>
      </c>
      <c r="G108" s="10" t="s">
        <v>675</v>
      </c>
      <c r="H108" s="10" t="s">
        <v>676</v>
      </c>
      <c r="I108" s="10" t="s">
        <v>677</v>
      </c>
      <c r="J108" s="10" t="s">
        <v>678</v>
      </c>
      <c r="K108" s="12" t="s">
        <v>679</v>
      </c>
      <c r="L108" s="10"/>
      <c r="M108" s="2" t="str">
        <f aca="false" t="array" ref="M108:M108">IF($G108="","",IFERROR(INDEX(Ангилал!$A$5:$A$22,MATCH(TRUE(),INDEX(ISNUMBER(SEARCH(Ангилал!$B$5:$B$22,$G108&amp;" "&amp;$D108))+ISNUMBER(SEARCH(Ангилал!$C$5:$C$22,$G108&amp;" "&amp;$D108))+IF(Ангилал!$D$5:$D$22="",0,ISNUMBER(SEARCH(Ангилал!$D$5:$D$22,$G108&amp;" "&amp;$D108)))+IF(Ангилал!$E$5:$E$22="",0,ISNUMBER(SEARCH(Ангилал!$E$5:$E$22,$G108&amp;" "&amp;$D108)))&gt;0,0),0)),"Бусад"))</f>
        <v>Амьд явах, халдашгүй байх эрх</v>
      </c>
      <c r="N108" s="2"/>
      <c r="O108" s="2" t="str">
        <f aca="false">IF($G108="","",IF($N108&lt;&gt;"",$N108,$M108))</f>
        <v>Амьд явах, халдашгүй байх эрх</v>
      </c>
      <c r="P108" s="2" t="str">
        <f aca="false" t="array" ref="P108:P108">IF($G108="","",IFERROR(INDEX(Ангилал!$G$5:$G$16,MATCH(TRUE(),INDEX(ISNUMBER(SEARCH(Ангилал!$H$5:$H$16,$G108&amp;" "&amp;$D108&amp;" "&amp;$E108))+ISNUMBER(SEARCH(Ангилал!$I$5:$I$16,$G108&amp;" "&amp;$D108&amp;" "&amp;$E108))+ISNUMBER(SEARCH(Ангилал!$J$5:$J$16,$G108&amp;" "&amp;$D108&amp;" "&amp;$E108))+ISNUMBER(SEARCH(Ангилал!$K$5:$K$16,$G108&amp;" "&amp;$D108&amp;" "&amp;$E108))&gt;0,0),0)),"Ерөнхий нийт"))</f>
        <v>Цөөнх, үндэстэн ястан</v>
      </c>
      <c r="Q108" s="2"/>
      <c r="R108" s="2" t="str">
        <f aca="false">IF($G108="","",IF($Q108&lt;&gt;"",$Q108,$P108))</f>
        <v>Цөөнх, үндэстэн ястан</v>
      </c>
    </row>
    <row r="109" customFormat="false" ht="57.75" hidden="false" customHeight="true" outlineLevel="0" collapsed="false">
      <c r="A109" s="9" t="n">
        <v>84</v>
      </c>
      <c r="B109" s="10" t="s">
        <v>680</v>
      </c>
      <c r="C109" s="10" t="s">
        <v>680</v>
      </c>
      <c r="D109" s="11" t="s">
        <v>681</v>
      </c>
      <c r="E109" s="11" t="s">
        <v>682</v>
      </c>
      <c r="F109" s="10" t="s">
        <v>3</v>
      </c>
      <c r="G109" s="10" t="s">
        <v>683</v>
      </c>
      <c r="H109" s="10" t="s">
        <v>684</v>
      </c>
      <c r="I109" s="10" t="s">
        <v>685</v>
      </c>
      <c r="J109" s="10" t="s">
        <v>686</v>
      </c>
      <c r="K109" s="12" t="s">
        <v>687</v>
      </c>
      <c r="L109" s="10"/>
      <c r="M109" s="2" t="str">
        <f aca="false" t="array" ref="M109:M109">IF($G109="","",IFERROR(INDEX(Ангилал!$A$5:$A$22,MATCH(TRUE(),INDEX(ISNUMBER(SEARCH(Ангилал!$B$5:$B$22,$G109&amp;" "&amp;$D109))+ISNUMBER(SEARCH(Ангилал!$C$5:$C$22,$G109&amp;" "&amp;$D109))+IF(Ангилал!$D$5:$D$22="",0,ISNUMBER(SEARCH(Ангилал!$D$5:$D$22,$G109&amp;" "&amp;$D109)))+IF(Ангилал!$E$5:$E$22="",0,ISNUMBER(SEARCH(Ангилал!$E$5:$E$22,$G109&amp;" "&amp;$D109)))&gt;0,0),0)),"Бусад"))</f>
        <v>Шударга шүүхээр шүүлгэх эрх</v>
      </c>
      <c r="N109" s="2"/>
      <c r="O109" s="2" t="str">
        <f aca="false">IF($G109="","",IF($N109&lt;&gt;"",$N109,$M109))</f>
        <v>Шударга шүүхээр шүүлгэх эрх</v>
      </c>
      <c r="P109" s="2" t="str">
        <f aca="false" t="array" ref="P109:P109">IF($G109="","",IFERROR(INDEX(Ангилал!$G$5:$G$16,MATCH(TRUE(),INDEX(ISNUMBER(SEARCH(Ангилал!$H$5:$H$16,$G109&amp;" "&amp;$D109&amp;" "&amp;$E109))+ISNUMBER(SEARCH(Ангилал!$I$5:$I$16,$G109&amp;" "&amp;$D109&amp;" "&amp;$E109))+ISNUMBER(SEARCH(Ангилал!$J$5:$J$16,$G109&amp;" "&amp;$D109&amp;" "&amp;$E109))+ISNUMBER(SEARCH(Ангилал!$K$5:$K$16,$G109&amp;" "&amp;$D109&amp;" "&amp;$E109))&gt;0,0),0)),"Ерөнхий нийт"))</f>
        <v>Ерөнхий нийт</v>
      </c>
      <c r="Q109" s="2"/>
      <c r="R109" s="2" t="str">
        <f aca="false">IF($G109="","",IF($Q109&lt;&gt;"",$Q109,$P109))</f>
        <v>Ерөнхий нийт</v>
      </c>
    </row>
    <row r="110" customFormat="false" ht="26.25" hidden="false" customHeight="true" outlineLevel="0" collapsed="false">
      <c r="A110" s="8" t="s">
        <v>688</v>
      </c>
      <c r="B110" s="8"/>
      <c r="C110" s="8"/>
      <c r="D110" s="8"/>
      <c r="E110" s="8"/>
      <c r="F110" s="8"/>
      <c r="G110" s="8"/>
      <c r="H110" s="8"/>
      <c r="I110" s="8"/>
      <c r="J110" s="8"/>
      <c r="K110" s="8"/>
      <c r="L110" s="8"/>
      <c r="M110" s="2" t="str">
        <f aca="false" t="array" ref="M110:M110">IF($G110="","",IFERROR(INDEX(Ангилал!$A$5:$A$22,MATCH(TRUE(),INDEX(ISNUMBER(SEARCH(Ангилал!$B$5:$B$22,$G110&amp;" "&amp;$D110))+ISNUMBER(SEARCH(Ангилал!$C$5:$C$22,$G110&amp;" "&amp;$D110))+IF(Ангилал!$D$5:$D$22="",0,ISNUMBER(SEARCH(Ангилал!$D$5:$D$22,$G110&amp;" "&amp;$D110)))+IF(Ангилал!$E$5:$E$22="",0,ISNUMBER(SEARCH(Ангилал!$E$5:$E$22,$G110&amp;" "&amp;$D110)))&gt;0,0),0)),"Бусад"))</f>
        <v/>
      </c>
      <c r="N110" s="2"/>
      <c r="O110" s="2" t="str">
        <f aca="false">IF($G110="","",IF($N110&lt;&gt;"",$N110,$M110))</f>
        <v/>
      </c>
      <c r="P110" s="2" t="str">
        <f aca="false" t="array" ref="P110:P110">IF($G110="","",IFERROR(INDEX(Ангилал!$G$5:$G$16,MATCH(TRUE(),INDEX(ISNUMBER(SEARCH(Ангилал!$H$5:$H$16,$G110&amp;" "&amp;$D110&amp;" "&amp;$E110))+ISNUMBER(SEARCH(Ангилал!$I$5:$I$16,$G110&amp;" "&amp;$D110&amp;" "&amp;$E110))+ISNUMBER(SEARCH(Ангилал!$J$5:$J$16,$G110&amp;" "&amp;$D110&amp;" "&amp;$E110))+ISNUMBER(SEARCH(Ангилал!$K$5:$K$16,$G110&amp;" "&amp;$D110&amp;" "&amp;$E110))&gt;0,0),0)),"Ерөнхий нийт"))</f>
        <v/>
      </c>
      <c r="Q110" s="2"/>
      <c r="R110" s="2" t="str">
        <f aca="false">IF($G110="","",IF($Q110&lt;&gt;"",$Q110,$P110))</f>
        <v/>
      </c>
    </row>
    <row r="111" customFormat="false" ht="101.25" hidden="false" customHeight="true" outlineLevel="0" collapsed="false">
      <c r="A111" s="9" t="n">
        <v>85</v>
      </c>
      <c r="B111" s="10" t="s">
        <v>689</v>
      </c>
      <c r="C111" s="10" t="s">
        <v>624</v>
      </c>
      <c r="D111" s="11" t="s">
        <v>690</v>
      </c>
      <c r="E111" s="11" t="s">
        <v>691</v>
      </c>
      <c r="F111" s="10" t="s">
        <v>43</v>
      </c>
      <c r="G111" s="10" t="s">
        <v>692</v>
      </c>
      <c r="H111" s="10" t="s">
        <v>693</v>
      </c>
      <c r="I111" s="10" t="s">
        <v>694</v>
      </c>
      <c r="J111" s="10" t="s">
        <v>567</v>
      </c>
      <c r="K111" s="12" t="s">
        <v>695</v>
      </c>
      <c r="L111" s="10"/>
      <c r="M111" s="2" t="str">
        <f aca="false" t="array" ref="M111:M111">IF($G111="","",IFERROR(INDEX(Ангилал!$A$5:$A$22,MATCH(TRUE(),INDEX(ISNUMBER(SEARCH(Ангилал!$B$5:$B$22,$G111&amp;" "&amp;$D111))+ISNUMBER(SEARCH(Ангилал!$C$5:$C$22,$G111&amp;" "&amp;$D111))+IF(Ангилал!$D$5:$D$22="",0,ISNUMBER(SEARCH(Ангилал!$D$5:$D$22,$G111&amp;" "&amp;$D111)))+IF(Ангилал!$E$5:$E$22="",0,ISNUMBER(SEARCH(Ангилал!$E$5:$E$22,$G111&amp;" "&amp;$D111)))&gt;0,0),0)),"Бусад"))</f>
        <v>Чөлөөтэй зорчих, эвлэлдэн нэгдэх эрх</v>
      </c>
      <c r="N111" s="2"/>
      <c r="O111" s="2" t="str">
        <f aca="false">IF($G111="","",IF($N111&lt;&gt;"",$N111,$M111))</f>
        <v>Чөлөөтэй зорчих, эвлэлдэн нэгдэх эрх</v>
      </c>
      <c r="P111" s="2" t="str">
        <f aca="false" t="array" ref="P111:P111">IF($G111="","",IFERROR(INDEX(Ангилал!$G$5:$G$16,MATCH(TRUE(),INDEX(ISNUMBER(SEARCH(Ангилал!$H$5:$H$16,$G111&amp;" "&amp;$D111&amp;" "&amp;$E111))+ISNUMBER(SEARCH(Ангилал!$I$5:$I$16,$G111&amp;" "&amp;$D111&amp;" "&amp;$E111))+ISNUMBER(SEARCH(Ангилал!$J$5:$J$16,$G111&amp;" "&amp;$D111&amp;" "&amp;$E111))+ISNUMBER(SEARCH(Ангилал!$K$5:$K$16,$G111&amp;" "&amp;$D111&amp;" "&amp;$E111))&gt;0,0),0)),"Ерөнхий нийт"))</f>
        <v>Дүрвэгсэд, цагаачид</v>
      </c>
      <c r="Q111" s="2"/>
      <c r="R111" s="2" t="str">
        <f aca="false">IF($G111="","",IF($Q111&lt;&gt;"",$Q111,$P111))</f>
        <v>Дүрвэгсэд, цагаачид</v>
      </c>
    </row>
    <row r="112" customFormat="false" ht="26.25" hidden="false" customHeight="true" outlineLevel="0" collapsed="false">
      <c r="A112" s="8" t="s">
        <v>696</v>
      </c>
      <c r="B112" s="8"/>
      <c r="C112" s="8"/>
      <c r="D112" s="8"/>
      <c r="E112" s="8"/>
      <c r="F112" s="8"/>
      <c r="G112" s="8"/>
      <c r="H112" s="8"/>
      <c r="I112" s="8"/>
      <c r="J112" s="8"/>
      <c r="K112" s="8"/>
      <c r="L112" s="8"/>
      <c r="M112" s="2" t="str">
        <f aca="false" t="array" ref="M112:M112">IF($G112="","",IFERROR(INDEX(Ангилал!$A$5:$A$22,MATCH(TRUE(),INDEX(ISNUMBER(SEARCH(Ангилал!$B$5:$B$22,$G112&amp;" "&amp;$D112))+ISNUMBER(SEARCH(Ангилал!$C$5:$C$22,$G112&amp;" "&amp;$D112))+IF(Ангилал!$D$5:$D$22="",0,ISNUMBER(SEARCH(Ангилал!$D$5:$D$22,$G112&amp;" "&amp;$D112)))+IF(Ангилал!$E$5:$E$22="",0,ISNUMBER(SEARCH(Ангилал!$E$5:$E$22,$G112&amp;" "&amp;$D112)))&gt;0,0),0)),"Бусад"))</f>
        <v/>
      </c>
      <c r="N112" s="2"/>
      <c r="O112" s="2" t="str">
        <f aca="false">IF($G112="","",IF($N112&lt;&gt;"",$N112,$M112))</f>
        <v/>
      </c>
      <c r="P112" s="2" t="str">
        <f aca="false" t="array" ref="P112:P112">IF($G112="","",IFERROR(INDEX(Ангилал!$G$5:$G$16,MATCH(TRUE(),INDEX(ISNUMBER(SEARCH(Ангилал!$H$5:$H$16,$G112&amp;" "&amp;$D112&amp;" "&amp;$E112))+ISNUMBER(SEARCH(Ангилал!$I$5:$I$16,$G112&amp;" "&amp;$D112&amp;" "&amp;$E112))+ISNUMBER(SEARCH(Ангилал!$J$5:$J$16,$G112&amp;" "&amp;$D112&amp;" "&amp;$E112))+ISNUMBER(SEARCH(Ангилал!$K$5:$K$16,$G112&amp;" "&amp;$D112&amp;" "&amp;$E112))&gt;0,0),0)),"Ерөнхий нийт"))</f>
        <v/>
      </c>
      <c r="Q112" s="2"/>
      <c r="R112" s="2" t="str">
        <f aca="false">IF($G112="","",IF($Q112&lt;&gt;"",$Q112,$P112))</f>
        <v/>
      </c>
    </row>
    <row r="113" customFormat="false" ht="115.5" hidden="false" customHeight="true" outlineLevel="0" collapsed="false">
      <c r="A113" s="9" t="n">
        <v>86</v>
      </c>
      <c r="B113" s="10" t="s">
        <v>697</v>
      </c>
      <c r="C113" s="10" t="s">
        <v>698</v>
      </c>
      <c r="D113" s="11" t="s">
        <v>699</v>
      </c>
      <c r="E113" s="11" t="s">
        <v>700</v>
      </c>
      <c r="F113" s="10" t="s">
        <v>3</v>
      </c>
      <c r="G113" s="10" t="s">
        <v>701</v>
      </c>
      <c r="H113" s="10" t="s">
        <v>702</v>
      </c>
      <c r="I113" s="10" t="s">
        <v>703</v>
      </c>
      <c r="J113" s="10" t="s">
        <v>704</v>
      </c>
      <c r="K113" s="12" t="s">
        <v>705</v>
      </c>
      <c r="L113" s="10"/>
      <c r="M113" s="2" t="str">
        <f aca="false" t="array" ref="M113:M113">IF($G113="","",IFERROR(INDEX(Ангилал!$A$5:$A$22,MATCH(TRUE(),INDEX(ISNUMBER(SEARCH(Ангилал!$B$5:$B$22,$G113&amp;" "&amp;$D113))+ISNUMBER(SEARCH(Ангилал!$C$5:$C$22,$G113&amp;" "&amp;$D113))+IF(Ангилал!$D$5:$D$22="",0,ISNUMBER(SEARCH(Ангилал!$D$5:$D$22,$G113&amp;" "&amp;$D113)))+IF(Ангилал!$E$5:$E$22="",0,ISNUMBER(SEARCH(Ангилал!$E$5:$E$22,$G113&amp;" "&amp;$D113)))&gt;0,0),0)),"Бусад"))</f>
        <v>Үзэл бодлоо илэрхийлэх, мэдээллийн эрх</v>
      </c>
      <c r="N113" s="2"/>
      <c r="O113" s="2" t="str">
        <f aca="false">IF($G113="","",IF($N113&lt;&gt;"",$N113,$M113))</f>
        <v>Үзэл бодлоо илэрхийлэх, мэдээллийн эрх</v>
      </c>
      <c r="P113" s="2" t="str">
        <f aca="false" t="array" ref="P113:P113">IF($G113="","",IFERROR(INDEX(Ангилал!$G$5:$G$16,MATCH(TRUE(),INDEX(ISNUMBER(SEARCH(Ангилал!$H$5:$H$16,$G113&amp;" "&amp;$D113&amp;" "&amp;$E113))+ISNUMBER(SEARCH(Ангилал!$I$5:$I$16,$G113&amp;" "&amp;$D113&amp;" "&amp;$E113))+ISNUMBER(SEARCH(Ангилал!$J$5:$J$16,$G113&amp;" "&amp;$D113&amp;" "&amp;$E113))+ISNUMBER(SEARCH(Ангилал!$K$5:$K$16,$G113&amp;" "&amp;$D113&amp;" "&amp;$E113))&gt;0,0),0)),"Ерөнхий нийт"))</f>
        <v>Хоригдол, саатуулагдсан хүн</v>
      </c>
      <c r="Q113" s="2"/>
      <c r="R113" s="2" t="str">
        <f aca="false">IF($G113="","",IF($Q113&lt;&gt;"",$Q113,$P113))</f>
        <v>Хоригдол, саатуулагдсан хүн</v>
      </c>
    </row>
    <row r="114" customFormat="false" ht="115.5" hidden="false" customHeight="true" outlineLevel="0" collapsed="false">
      <c r="A114" s="9" t="n">
        <v>87</v>
      </c>
      <c r="B114" s="10" t="s">
        <v>697</v>
      </c>
      <c r="C114" s="10" t="s">
        <v>706</v>
      </c>
      <c r="D114" s="11" t="s">
        <v>707</v>
      </c>
      <c r="E114" s="11" t="s">
        <v>708</v>
      </c>
      <c r="F114" s="10" t="s">
        <v>709</v>
      </c>
      <c r="G114" s="10" t="s">
        <v>710</v>
      </c>
      <c r="H114" s="10" t="s">
        <v>711</v>
      </c>
      <c r="I114" s="10" t="s">
        <v>712</v>
      </c>
      <c r="J114" s="10" t="s">
        <v>713</v>
      </c>
      <c r="K114" s="12" t="s">
        <v>714</v>
      </c>
      <c r="L114" s="10"/>
      <c r="M114" s="2" t="str">
        <f aca="false" t="array" ref="M114:M114">IF($G114="","",IFERROR(INDEX(Ангилал!$A$5:$A$22,MATCH(TRUE(),INDEX(ISNUMBER(SEARCH(Ангилал!$B$5:$B$22,$G114&amp;" "&amp;$D114))+ISNUMBER(SEARCH(Ангилал!$C$5:$C$22,$G114&amp;" "&amp;$D114))+IF(Ангилал!$D$5:$D$22="",0,ISNUMBER(SEARCH(Ангилал!$D$5:$D$22,$G114&amp;" "&amp;$D114)))+IF(Ангилал!$E$5:$E$22="",0,ISNUMBER(SEARCH(Ангилал!$E$5:$E$22,$G114&amp;" "&amp;$D114)))&gt;0,0),0)),"Бусад"))</f>
        <v>Амьд явах, халдашгүй байх эрх</v>
      </c>
      <c r="N114" s="2"/>
      <c r="O114" s="2" t="str">
        <f aca="false">IF($G114="","",IF($N114&lt;&gt;"",$N114,$M114))</f>
        <v>Амьд явах, халдашгүй байх эрх</v>
      </c>
      <c r="P114" s="2" t="str">
        <f aca="false" t="array" ref="P114:P114">IF($G114="","",IFERROR(INDEX(Ангилал!$G$5:$G$16,MATCH(TRUE(),INDEX(ISNUMBER(SEARCH(Ангилал!$H$5:$H$16,$G114&amp;" "&amp;$D114&amp;" "&amp;$E114))+ISNUMBER(SEARCH(Ангилал!$I$5:$I$16,$G114&amp;" "&amp;$D114&amp;" "&amp;$E114))+ISNUMBER(SEARCH(Ангилал!$J$5:$J$16,$G114&amp;" "&amp;$D114&amp;" "&amp;$E114))+ISNUMBER(SEARCH(Ангилал!$K$5:$K$16,$G114&amp;" "&amp;$D114&amp;" "&amp;$E114))&gt;0,0),0)),"Ерөнхий нийт"))</f>
        <v>Дүрвэгсэд, цагаачид</v>
      </c>
      <c r="Q114" s="2"/>
      <c r="R114" s="2" t="str">
        <f aca="false">IF($G114="","",IF($Q114&lt;&gt;"",$Q114,$P114))</f>
        <v>Дүрвэгсэд, цагаачид</v>
      </c>
    </row>
    <row r="115" customFormat="false" ht="86.25" hidden="false" customHeight="true" outlineLevel="0" collapsed="false">
      <c r="A115" s="9" t="n">
        <v>88</v>
      </c>
      <c r="B115" s="10" t="s">
        <v>715</v>
      </c>
      <c r="C115" s="10" t="s">
        <v>716</v>
      </c>
      <c r="D115" s="11" t="s">
        <v>717</v>
      </c>
      <c r="E115" s="11" t="s">
        <v>718</v>
      </c>
      <c r="F115" s="10" t="s">
        <v>719</v>
      </c>
      <c r="G115" s="10" t="s">
        <v>720</v>
      </c>
      <c r="H115" s="10" t="s">
        <v>721</v>
      </c>
      <c r="I115" s="10" t="s">
        <v>722</v>
      </c>
      <c r="J115" s="10" t="s">
        <v>723</v>
      </c>
      <c r="K115" s="12" t="s">
        <v>724</v>
      </c>
      <c r="L115" s="10"/>
      <c r="M115" s="2" t="str">
        <f aca="false" t="array" ref="M115:M115">IF($G115="","",IFERROR(INDEX(Ангилал!$A$5:$A$22,MATCH(TRUE(),INDEX(ISNUMBER(SEARCH(Ангилал!$B$5:$B$22,$G115&amp;" "&amp;$D115))+ISNUMBER(SEARCH(Ангилал!$C$5:$C$22,$G115&amp;" "&amp;$D115))+IF(Ангилал!$D$5:$D$22="",0,ISNUMBER(SEARCH(Ангилал!$D$5:$D$22,$G115&amp;" "&amp;$D115)))+IF(Ангилал!$E$5:$E$22="",0,ISNUMBER(SEARCH(Ангилал!$E$5:$E$22,$G115&amp;" "&amp;$D115)))&gt;0,0),0)),"Бусад"))</f>
        <v>Хүүхдийн эрх</v>
      </c>
      <c r="N115" s="2"/>
      <c r="O115" s="2" t="str">
        <f aca="false">IF($G115="","",IF($N115&lt;&gt;"",$N115,$M115))</f>
        <v>Хүүхдийн эрх</v>
      </c>
      <c r="P115" s="2" t="str">
        <f aca="false" t="array" ref="P115:P115">IF($G115="","",IFERROR(INDEX(Ангилал!$G$5:$G$16,MATCH(TRUE(),INDEX(ISNUMBER(SEARCH(Ангилал!$H$5:$H$16,$G115&amp;" "&amp;$D115&amp;" "&amp;$E115))+ISNUMBER(SEARCH(Ангилал!$I$5:$I$16,$G115&amp;" "&amp;$D115&amp;" "&amp;$E115))+ISNUMBER(SEARCH(Ангилал!$J$5:$J$16,$G115&amp;" "&amp;$D115&amp;" "&amp;$E115))+ISNUMBER(SEARCH(Ангилал!$K$5:$K$16,$G115&amp;" "&amp;$D115&amp;" "&amp;$E115))&gt;0,0),0)),"Ерөнхий нийт"))</f>
        <v>Хүүхэд</v>
      </c>
      <c r="Q115" s="2"/>
      <c r="R115" s="2" t="str">
        <f aca="false">IF($G115="","",IF($Q115&lt;&gt;"",$Q115,$P115))</f>
        <v>Хүүхэд</v>
      </c>
    </row>
    <row r="116" customFormat="false" ht="101.25" hidden="false" customHeight="true" outlineLevel="0" collapsed="false">
      <c r="A116" s="9" t="n">
        <v>89</v>
      </c>
      <c r="B116" s="10" t="s">
        <v>725</v>
      </c>
      <c r="C116" s="10" t="s">
        <v>726</v>
      </c>
      <c r="D116" s="11" t="s">
        <v>727</v>
      </c>
      <c r="E116" s="11" t="s">
        <v>728</v>
      </c>
      <c r="F116" s="10" t="s">
        <v>3</v>
      </c>
      <c r="G116" s="10" t="s">
        <v>729</v>
      </c>
      <c r="H116" s="10" t="s">
        <v>730</v>
      </c>
      <c r="I116" s="10" t="s">
        <v>731</v>
      </c>
      <c r="J116" s="10" t="s">
        <v>732</v>
      </c>
      <c r="K116" s="12" t="s">
        <v>733</v>
      </c>
      <c r="L116" s="10"/>
      <c r="M116" s="2" t="str">
        <f aca="false" t="array" ref="M116:M116">IF($G116="","",IFERROR(INDEX(Ангилал!$A$5:$A$22,MATCH(TRUE(),INDEX(ISNUMBER(SEARCH(Ангилал!$B$5:$B$22,$G116&amp;" "&amp;$D116))+ISNUMBER(SEARCH(Ангилал!$C$5:$C$22,$G116&amp;" "&amp;$D116))+IF(Ангилал!$D$5:$D$22="",0,ISNUMBER(SEARCH(Ангилал!$D$5:$D$22,$G116&amp;" "&amp;$D116)))+IF(Ангилал!$E$5:$E$22="",0,ISNUMBER(SEARCH(Ангилал!$E$5:$E$22,$G116&amp;" "&amp;$D116)))&gt;0,0),0)),"Бусад"))</f>
        <v>Хүчирхийлэл, бэлгийн дарамтаас ангид байх</v>
      </c>
      <c r="N116" s="2"/>
      <c r="O116" s="2" t="str">
        <f aca="false">IF($G116="","",IF($N116&lt;&gt;"",$N116,$M116))</f>
        <v>Хүчирхийлэл, бэлгийн дарамтаас ангид байх</v>
      </c>
      <c r="P116" s="2" t="str">
        <f aca="false" t="array" ref="P116:P116">IF($G116="","",IFERROR(INDEX(Ангилал!$G$5:$G$16,MATCH(TRUE(),INDEX(ISNUMBER(SEARCH(Ангилал!$H$5:$H$16,$G116&amp;" "&amp;$D116&amp;" "&amp;$E116))+ISNUMBER(SEARCH(Ангилал!$I$5:$I$16,$G116&amp;" "&amp;$D116&amp;" "&amp;$E116))+ISNUMBER(SEARCH(Ангилал!$J$5:$J$16,$G116&amp;" "&amp;$D116&amp;" "&amp;$E116))+ISNUMBER(SEARCH(Ангилал!$K$5:$K$16,$G116&amp;" "&amp;$D116&amp;" "&amp;$E116))&gt;0,0),0)),"Ерөнхий нийт"))</f>
        <v>Эмэгтэйчүүд</v>
      </c>
      <c r="Q116" s="2"/>
      <c r="R116" s="2" t="str">
        <f aca="false">IF($G116="","",IF($Q116&lt;&gt;"",$Q116,$P116))</f>
        <v>Эмэгтэйчүүд</v>
      </c>
    </row>
    <row r="117" customFormat="false" ht="115.5" hidden="false" customHeight="true" outlineLevel="0" collapsed="false">
      <c r="A117" s="9" t="n">
        <v>90</v>
      </c>
      <c r="B117" s="10" t="s">
        <v>697</v>
      </c>
      <c r="C117" s="10" t="s">
        <v>734</v>
      </c>
      <c r="D117" s="11" t="s">
        <v>735</v>
      </c>
      <c r="E117" s="11" t="s">
        <v>736</v>
      </c>
      <c r="F117" s="10" t="s">
        <v>737</v>
      </c>
      <c r="G117" s="10" t="s">
        <v>738</v>
      </c>
      <c r="H117" s="10" t="s">
        <v>739</v>
      </c>
      <c r="I117" s="10" t="s">
        <v>740</v>
      </c>
      <c r="J117" s="10" t="s">
        <v>704</v>
      </c>
      <c r="K117" s="12" t="s">
        <v>741</v>
      </c>
      <c r="L117" s="10"/>
      <c r="M117" s="2" t="str">
        <f aca="false" t="array" ref="M117:M117">IF($G117="","",IFERROR(INDEX(Ангилал!$A$5:$A$22,MATCH(TRUE(),INDEX(ISNUMBER(SEARCH(Ангилал!$B$5:$B$22,$G117&amp;" "&amp;$D117))+ISNUMBER(SEARCH(Ангилал!$C$5:$C$22,$G117&amp;" "&amp;$D117))+IF(Ангилал!$D$5:$D$22="",0,ISNUMBER(SEARCH(Ангилал!$D$5:$D$22,$G117&amp;" "&amp;$D117)))+IF(Ангилал!$E$5:$E$22="",0,ISNUMBER(SEARCH(Ангилал!$E$5:$E$22,$G117&amp;" "&amp;$D117)))&gt;0,0),0)),"Бусад"))</f>
        <v>Шударга шүүхээр шүүлгэх эрх</v>
      </c>
      <c r="N117" s="2"/>
      <c r="O117" s="2" t="str">
        <f aca="false">IF($G117="","",IF($N117&lt;&gt;"",$N117,$M117))</f>
        <v>Шударга шүүхээр шүүлгэх эрх</v>
      </c>
      <c r="P117" s="2" t="str">
        <f aca="false" t="array" ref="P117:P117">IF($G117="","",IFERROR(INDEX(Ангилал!$G$5:$G$16,MATCH(TRUE(),INDEX(ISNUMBER(SEARCH(Ангилал!$H$5:$H$16,$G117&amp;" "&amp;$D117&amp;" "&amp;$E117))+ISNUMBER(SEARCH(Ангилал!$I$5:$I$16,$G117&amp;" "&amp;$D117&amp;" "&amp;$E117))+ISNUMBER(SEARCH(Ангилал!$J$5:$J$16,$G117&amp;" "&amp;$D117&amp;" "&amp;$E117))+ISNUMBER(SEARCH(Ангилал!$K$5:$K$16,$G117&amp;" "&amp;$D117&amp;" "&amp;$E117))&gt;0,0),0)),"Ерөнхий нийт"))</f>
        <v>Ерөнхий нийт</v>
      </c>
      <c r="Q117" s="2"/>
      <c r="R117" s="2" t="str">
        <f aca="false">IF($G117="","",IF($Q117&lt;&gt;"",$Q117,$P117))</f>
        <v>Ерөнхий нийт</v>
      </c>
    </row>
    <row r="118" customFormat="false" ht="86.25" hidden="false" customHeight="true" outlineLevel="0" collapsed="false">
      <c r="A118" s="9" t="n">
        <v>91</v>
      </c>
      <c r="B118" s="10" t="s">
        <v>725</v>
      </c>
      <c r="C118" s="10" t="s">
        <v>742</v>
      </c>
      <c r="D118" s="11" t="s">
        <v>743</v>
      </c>
      <c r="E118" s="11" t="s">
        <v>744</v>
      </c>
      <c r="F118" s="10" t="s">
        <v>745</v>
      </c>
      <c r="G118" s="10" t="s">
        <v>746</v>
      </c>
      <c r="H118" s="10" t="s">
        <v>747</v>
      </c>
      <c r="I118" s="10" t="s">
        <v>748</v>
      </c>
      <c r="J118" s="10" t="s">
        <v>732</v>
      </c>
      <c r="K118" s="12" t="s">
        <v>749</v>
      </c>
      <c r="L118" s="10"/>
      <c r="M118" s="2" t="str">
        <f aca="false" t="array" ref="M118:M118">IF($G118="","",IFERROR(INDEX(Ангилал!$A$5:$A$22,MATCH(TRUE(),INDEX(ISNUMBER(SEARCH(Ангилал!$B$5:$B$22,$G118&amp;" "&amp;$D118))+ISNUMBER(SEARCH(Ангилал!$C$5:$C$22,$G118&amp;" "&amp;$D118))+IF(Ангилал!$D$5:$D$22="",0,ISNUMBER(SEARCH(Ангилал!$D$5:$D$22,$G118&amp;" "&amp;$D118)))+IF(Ангилал!$E$5:$E$22="",0,ISNUMBER(SEARCH(Ангилал!$E$5:$E$22,$G118&amp;" "&amp;$D118)))&gt;0,0),0)),"Бусад"))</f>
        <v>Хувийн нууц, халдашгүй байдал</v>
      </c>
      <c r="N118" s="2"/>
      <c r="O118" s="2" t="str">
        <f aca="false">IF($G118="","",IF($N118&lt;&gt;"",$N118,$M118))</f>
        <v>Хувийн нууц, халдашгүй байдал</v>
      </c>
      <c r="P118" s="2" t="str">
        <f aca="false" t="array" ref="P118:P118">IF($G118="","",IFERROR(INDEX(Ангилал!$G$5:$G$16,MATCH(TRUE(),INDEX(ISNUMBER(SEARCH(Ангилал!$H$5:$H$16,$G118&amp;" "&amp;$D118&amp;" "&amp;$E118))+ISNUMBER(SEARCH(Ангилал!$I$5:$I$16,$G118&amp;" "&amp;$D118&amp;" "&amp;$E118))+ISNUMBER(SEARCH(Ангилал!$J$5:$J$16,$G118&amp;" "&amp;$D118&amp;" "&amp;$E118))+ISNUMBER(SEARCH(Ангилал!$K$5:$K$16,$G118&amp;" "&amp;$D118&amp;" "&amp;$E118))&gt;0,0),0)),"Ерөнхий нийт"))</f>
        <v>Ерөнхий нийт</v>
      </c>
      <c r="Q118" s="2"/>
      <c r="R118" s="2" t="str">
        <f aca="false">IF($G118="","",IF($Q118&lt;&gt;"",$Q118,$P118))</f>
        <v>Ерөнхий нийт</v>
      </c>
    </row>
    <row r="119" customFormat="false" ht="72" hidden="false" customHeight="true" outlineLevel="0" collapsed="false">
      <c r="A119" s="9" t="n">
        <v>92</v>
      </c>
      <c r="B119" s="10" t="s">
        <v>750</v>
      </c>
      <c r="C119" s="10" t="s">
        <v>751</v>
      </c>
      <c r="D119" s="11" t="s">
        <v>752</v>
      </c>
      <c r="E119" s="11" t="s">
        <v>753</v>
      </c>
      <c r="F119" s="10" t="s">
        <v>754</v>
      </c>
      <c r="G119" s="10" t="s">
        <v>755</v>
      </c>
      <c r="H119" s="10" t="s">
        <v>756</v>
      </c>
      <c r="I119" s="10"/>
      <c r="J119" s="10" t="s">
        <v>732</v>
      </c>
      <c r="K119" s="12" t="s">
        <v>757</v>
      </c>
      <c r="L119" s="10"/>
      <c r="M119" s="2" t="str">
        <f aca="false" t="array" ref="M119:M119">IF($G119="","",IFERROR(INDEX(Ангилал!$A$5:$A$22,MATCH(TRUE(),INDEX(ISNUMBER(SEARCH(Ангилал!$B$5:$B$22,$G119&amp;" "&amp;$D119))+ISNUMBER(SEARCH(Ангилал!$C$5:$C$22,$G119&amp;" "&amp;$D119))+IF(Ангилал!$D$5:$D$22="",0,ISNUMBER(SEARCH(Ангилал!$D$5:$D$22,$G119&amp;" "&amp;$D119)))+IF(Ангилал!$E$5:$E$22="",0,ISNUMBER(SEARCH(Ангилал!$E$5:$E$22,$G119&amp;" "&amp;$D119)))&gt;0,0),0)),"Бусад"))</f>
        <v>Өмчлөх эрх</v>
      </c>
      <c r="N119" s="2"/>
      <c r="O119" s="2" t="str">
        <f aca="false">IF($G119="","",IF($N119&lt;&gt;"",$N119,$M119))</f>
        <v>Өмчлөх эрх</v>
      </c>
      <c r="P119" s="2" t="str">
        <f aca="false" t="array" ref="P119:P119">IF($G119="","",IFERROR(INDEX(Ангилал!$G$5:$G$16,MATCH(TRUE(),INDEX(ISNUMBER(SEARCH(Ангилал!$H$5:$H$16,$G119&amp;" "&amp;$D119&amp;" "&amp;$E119))+ISNUMBER(SEARCH(Ангилал!$I$5:$I$16,$G119&amp;" "&amp;$D119&amp;" "&amp;$E119))+ISNUMBER(SEARCH(Ангилал!$J$5:$J$16,$G119&amp;" "&amp;$D119&amp;" "&amp;$E119))+ISNUMBER(SEARCH(Ангилал!$K$5:$K$16,$G119&amp;" "&amp;$D119&amp;" "&amp;$E119))&gt;0,0),0)),"Ерөнхий нийт"))</f>
        <v>Ерөнхий нийт</v>
      </c>
      <c r="Q119" s="2"/>
      <c r="R119" s="2" t="str">
        <f aca="false">IF($G119="","",IF($Q119&lt;&gt;"",$Q119,$P119))</f>
        <v>Ерөнхий нийт</v>
      </c>
    </row>
    <row r="120" customFormat="false" ht="86.25" hidden="false" customHeight="true" outlineLevel="0" collapsed="false">
      <c r="A120" s="9" t="n">
        <v>93</v>
      </c>
      <c r="B120" s="10" t="s">
        <v>758</v>
      </c>
      <c r="C120" s="10" t="s">
        <v>742</v>
      </c>
      <c r="D120" s="11" t="s">
        <v>759</v>
      </c>
      <c r="E120" s="11" t="s">
        <v>760</v>
      </c>
      <c r="F120" s="10" t="s">
        <v>761</v>
      </c>
      <c r="G120" s="10" t="s">
        <v>762</v>
      </c>
      <c r="H120" s="10" t="s">
        <v>763</v>
      </c>
      <c r="I120" s="10"/>
      <c r="J120" s="10" t="s">
        <v>764</v>
      </c>
      <c r="K120" s="12" t="s">
        <v>765</v>
      </c>
      <c r="L120" s="10"/>
      <c r="M120" s="2" t="str">
        <f aca="false" t="array" ref="M120:M120">IF($G120="","",IFERROR(INDEX(Ангилал!$A$5:$A$22,MATCH(TRUE(),INDEX(ISNUMBER(SEARCH(Ангилал!$B$5:$B$22,$G120&amp;" "&amp;$D120))+ISNUMBER(SEARCH(Ангилал!$C$5:$C$22,$G120&amp;" "&amp;$D120))+IF(Ангилал!$D$5:$D$22="",0,ISNUMBER(SEARCH(Ангилал!$D$5:$D$22,$G120&amp;" "&amp;$D120)))+IF(Ангилал!$E$5:$E$22="",0,ISNUMBER(SEARCH(Ангилал!$E$5:$E$22,$G120&amp;" "&amp;$D120)))&gt;0,0),0)),"Бусад"))</f>
        <v>Өмчлөх эрх</v>
      </c>
      <c r="N120" s="2"/>
      <c r="O120" s="2" t="str">
        <f aca="false">IF($G120="","",IF($N120&lt;&gt;"",$N120,$M120))</f>
        <v>Өмчлөх эрх</v>
      </c>
      <c r="P120" s="2" t="str">
        <f aca="false" t="array" ref="P120:P120">IF($G120="","",IFERROR(INDEX(Ангилал!$G$5:$G$16,MATCH(TRUE(),INDEX(ISNUMBER(SEARCH(Ангилал!$H$5:$H$16,$G120&amp;" "&amp;$D120&amp;" "&amp;$E120))+ISNUMBER(SEARCH(Ангилал!$I$5:$I$16,$G120&amp;" "&amp;$D120&amp;" "&amp;$E120))+ISNUMBER(SEARCH(Ангилал!$J$5:$J$16,$G120&amp;" "&amp;$D120&amp;" "&amp;$E120))+ISNUMBER(SEARCH(Ангилал!$K$5:$K$16,$G120&amp;" "&amp;$D120&amp;" "&amp;$E120))&gt;0,0),0)),"Ерөнхий нийт"))</f>
        <v>Ерөнхий нийт</v>
      </c>
      <c r="Q120" s="2"/>
      <c r="R120" s="2" t="str">
        <f aca="false">IF($G120="","",IF($Q120&lt;&gt;"",$Q120,$P120))</f>
        <v>Ерөнхий нийт</v>
      </c>
    </row>
    <row r="121" customFormat="false" ht="101.25" hidden="false" customHeight="true" outlineLevel="0" collapsed="false">
      <c r="A121" s="9" t="n">
        <v>94</v>
      </c>
      <c r="B121" s="10" t="s">
        <v>697</v>
      </c>
      <c r="C121" s="10" t="s">
        <v>742</v>
      </c>
      <c r="D121" s="11" t="s">
        <v>766</v>
      </c>
      <c r="E121" s="11" t="s">
        <v>767</v>
      </c>
      <c r="F121" s="10" t="s">
        <v>768</v>
      </c>
      <c r="G121" s="10" t="s">
        <v>769</v>
      </c>
      <c r="H121" s="10" t="s">
        <v>770</v>
      </c>
      <c r="I121" s="10" t="s">
        <v>771</v>
      </c>
      <c r="J121" s="10" t="s">
        <v>567</v>
      </c>
      <c r="K121" s="12" t="s">
        <v>772</v>
      </c>
      <c r="L121" s="10"/>
      <c r="M121" s="2" t="str">
        <f aca="false" t="array" ref="M121:M121">IF($G121="","",IFERROR(INDEX(Ангилал!$A$5:$A$22,MATCH(TRUE(),INDEX(ISNUMBER(SEARCH(Ангилал!$B$5:$B$22,$G121&amp;" "&amp;$D121))+ISNUMBER(SEARCH(Ангилал!$C$5:$C$22,$G121&amp;" "&amp;$D121))+IF(Ангилал!$D$5:$D$22="",0,ISNUMBER(SEARCH(Ангилал!$D$5:$D$22,$G121&amp;" "&amp;$D121)))+IF(Ангилал!$E$5:$E$22="",0,ISNUMBER(SEARCH(Ангилал!$E$5:$E$22,$G121&amp;" "&amp;$D121)))&gt;0,0),0)),"Бусад"))</f>
        <v>Ялгаварлан гадуурхалтаас ангид байх, тэгш эрх</v>
      </c>
      <c r="N121" s="2"/>
      <c r="O121" s="2" t="str">
        <f aca="false">IF($G121="","",IF($N121&lt;&gt;"",$N121,$M121))</f>
        <v>Ялгаварлан гадуурхалтаас ангид байх, тэгш эрх</v>
      </c>
      <c r="P121" s="2" t="str">
        <f aca="false" t="array" ref="P121:P121">IF($G121="","",IFERROR(INDEX(Ангилал!$G$5:$G$16,MATCH(TRUE(),INDEX(ISNUMBER(SEARCH(Ангилал!$H$5:$H$16,$G121&amp;" "&amp;$D121&amp;" "&amp;$E121))+ISNUMBER(SEARCH(Ангилал!$I$5:$I$16,$G121&amp;" "&amp;$D121&amp;" "&amp;$E121))+ISNUMBER(SEARCH(Ангилал!$J$5:$J$16,$G121&amp;" "&amp;$D121&amp;" "&amp;$E121))+ISNUMBER(SEARCH(Ангилал!$K$5:$K$16,$G121&amp;" "&amp;$D121&amp;" "&amp;$E121))&gt;0,0),0)),"Ерөнхий нийт"))</f>
        <v>Эмэгтэйчүүд</v>
      </c>
      <c r="Q121" s="2"/>
      <c r="R121" s="2" t="str">
        <f aca="false">IF($G121="","",IF($Q121&lt;&gt;"",$Q121,$P121))</f>
        <v>Эмэгтэйчүүд</v>
      </c>
    </row>
    <row r="122" customFormat="false" ht="86.25" hidden="false" customHeight="true" outlineLevel="0" collapsed="false">
      <c r="A122" s="9" t="n">
        <v>95</v>
      </c>
      <c r="B122" s="10" t="s">
        <v>697</v>
      </c>
      <c r="C122" s="10" t="s">
        <v>773</v>
      </c>
      <c r="D122" s="11" t="s">
        <v>774</v>
      </c>
      <c r="E122" s="11" t="s">
        <v>775</v>
      </c>
      <c r="F122" s="10" t="s">
        <v>43</v>
      </c>
      <c r="G122" s="10" t="s">
        <v>776</v>
      </c>
      <c r="H122" s="10" t="s">
        <v>777</v>
      </c>
      <c r="I122" s="10"/>
      <c r="J122" s="10" t="s">
        <v>723</v>
      </c>
      <c r="K122" s="12" t="s">
        <v>778</v>
      </c>
      <c r="L122" s="10"/>
      <c r="M122" s="2" t="str">
        <f aca="false" t="array" ref="M122:M122">IF($G122="","",IFERROR(INDEX(Ангилал!$A$5:$A$22,MATCH(TRUE(),INDEX(ISNUMBER(SEARCH(Ангилал!$B$5:$B$22,$G122&amp;" "&amp;$D122))+ISNUMBER(SEARCH(Ангилал!$C$5:$C$22,$G122&amp;" "&amp;$D122))+IF(Ангилал!$D$5:$D$22="",0,ISNUMBER(SEARCH(Ангилал!$D$5:$D$22,$G122&amp;" "&amp;$D122)))+IF(Ангилал!$E$5:$E$22="",0,ISNUMBER(SEARCH(Ангилал!$E$5:$E$22,$G122&amp;" "&amp;$D122)))&gt;0,0),0)),"Бусад"))</f>
        <v>Чөлөөтэй зорчих, эвлэлдэн нэгдэх эрх</v>
      </c>
      <c r="N122" s="2"/>
      <c r="O122" s="2" t="str">
        <f aca="false">IF($G122="","",IF($N122&lt;&gt;"",$N122,$M122))</f>
        <v>Чөлөөтэй зорчих, эвлэлдэн нэгдэх эрх</v>
      </c>
      <c r="P122" s="2" t="str">
        <f aca="false" t="array" ref="P122:P122">IF($G122="","",IFERROR(INDEX(Ангилал!$G$5:$G$16,MATCH(TRUE(),INDEX(ISNUMBER(SEARCH(Ангилал!$H$5:$H$16,$G122&amp;" "&amp;$D122&amp;" "&amp;$E122))+ISNUMBER(SEARCH(Ангилал!$I$5:$I$16,$G122&amp;" "&amp;$D122&amp;" "&amp;$E122))+ISNUMBER(SEARCH(Ангилал!$J$5:$J$16,$G122&amp;" "&amp;$D122&amp;" "&amp;$E122))+ISNUMBER(SEARCH(Ангилал!$K$5:$K$16,$G122&amp;" "&amp;$D122&amp;" "&amp;$E122))&gt;0,0),0)),"Ерөнхий нийт"))</f>
        <v>Ерөнхий нийт</v>
      </c>
      <c r="Q122" s="2"/>
      <c r="R122" s="2" t="str">
        <f aca="false">IF($G122="","",IF($Q122&lt;&gt;"",$Q122,$P122))</f>
        <v>Ерөнхий нийт</v>
      </c>
    </row>
    <row r="123" customFormat="false" ht="86.25" hidden="false" customHeight="true" outlineLevel="0" collapsed="false">
      <c r="A123" s="9" t="n">
        <v>96</v>
      </c>
      <c r="B123" s="10" t="s">
        <v>779</v>
      </c>
      <c r="C123" s="10" t="s">
        <v>780</v>
      </c>
      <c r="D123" s="11" t="s">
        <v>781</v>
      </c>
      <c r="E123" s="11" t="s">
        <v>782</v>
      </c>
      <c r="F123" s="10" t="s">
        <v>783</v>
      </c>
      <c r="G123" s="10" t="s">
        <v>784</v>
      </c>
      <c r="H123" s="10" t="s">
        <v>785</v>
      </c>
      <c r="I123" s="10" t="s">
        <v>786</v>
      </c>
      <c r="J123" s="10" t="s">
        <v>732</v>
      </c>
      <c r="K123" s="12" t="s">
        <v>787</v>
      </c>
      <c r="L123" s="10"/>
      <c r="M123" s="2" t="str">
        <f aca="false" t="array" ref="M123:M123">IF($G123="","",IFERROR(INDEX(Ангилал!$A$5:$A$22,MATCH(TRUE(),INDEX(ISNUMBER(SEARCH(Ангилал!$B$5:$B$22,$G123&amp;" "&amp;$D123))+ISNUMBER(SEARCH(Ангилал!$C$5:$C$22,$G123&amp;" "&amp;$D123))+IF(Ангилал!$D$5:$D$22="",0,ISNUMBER(SEARCH(Ангилал!$D$5:$D$22,$G123&amp;" "&amp;$D123)))+IF(Ангилал!$E$5:$E$22="",0,ISNUMBER(SEARCH(Ангилал!$E$5:$E$22,$G123&amp;" "&amp;$D123)))&gt;0,0),0)),"Бусад"))</f>
        <v>Амьд явах, халдашгүй байх эрх</v>
      </c>
      <c r="N123" s="2"/>
      <c r="O123" s="2" t="str">
        <f aca="false">IF($G123="","",IF($N123&lt;&gt;"",$N123,$M123))</f>
        <v>Амьд явах, халдашгүй байх эрх</v>
      </c>
      <c r="P123" s="2" t="str">
        <f aca="false" t="array" ref="P123:P123">IF($G123="","",IFERROR(INDEX(Ангилал!$G$5:$G$16,MATCH(TRUE(),INDEX(ISNUMBER(SEARCH(Ангилал!$H$5:$H$16,$G123&amp;" "&amp;$D123&amp;" "&amp;$E123))+ISNUMBER(SEARCH(Ангилал!$I$5:$I$16,$G123&amp;" "&amp;$D123&amp;" "&amp;$E123))+ISNUMBER(SEARCH(Ангилал!$J$5:$J$16,$G123&amp;" "&amp;$D123&amp;" "&amp;$E123))+ISNUMBER(SEARCH(Ангилал!$K$5:$K$16,$G123&amp;" "&amp;$D123&amp;" "&amp;$E123))&gt;0,0),0)),"Ерөнхий нийт"))</f>
        <v>Малчид, хөдөөгийн иргэд</v>
      </c>
      <c r="Q123" s="2"/>
      <c r="R123" s="2" t="str">
        <f aca="false">IF($G123="","",IF($Q123&lt;&gt;"",$Q123,$P123))</f>
        <v>Малчид, хөдөөгийн иргэд</v>
      </c>
    </row>
    <row r="124" customFormat="false" ht="57.75" hidden="false" customHeight="true" outlineLevel="0" collapsed="false">
      <c r="A124" s="9" t="n">
        <v>97</v>
      </c>
      <c r="B124" s="10" t="s">
        <v>715</v>
      </c>
      <c r="C124" s="10" t="s">
        <v>742</v>
      </c>
      <c r="D124" s="11" t="s">
        <v>788</v>
      </c>
      <c r="E124" s="11" t="s">
        <v>789</v>
      </c>
      <c r="F124" s="10" t="s">
        <v>43</v>
      </c>
      <c r="G124" s="10" t="s">
        <v>790</v>
      </c>
      <c r="H124" s="10" t="s">
        <v>791</v>
      </c>
      <c r="I124" s="10"/>
      <c r="J124" s="10" t="s">
        <v>792</v>
      </c>
      <c r="K124" s="12" t="s">
        <v>793</v>
      </c>
      <c r="L124" s="10"/>
      <c r="M124" s="2" t="str">
        <f aca="false" t="array" ref="M124:M124">IF($G124="","",IFERROR(INDEX(Ангилал!$A$5:$A$22,MATCH(TRUE(),INDEX(ISNUMBER(SEARCH(Ангилал!$B$5:$B$22,$G124&amp;" "&amp;$D124))+ISNUMBER(SEARCH(Ангилал!$C$5:$C$22,$G124&amp;" "&amp;$D124))+IF(Ангилал!$D$5:$D$22="",0,ISNUMBER(SEARCH(Ангилал!$D$5:$D$22,$G124&amp;" "&amp;$D124)))+IF(Ангилал!$E$5:$E$22="",0,ISNUMBER(SEARCH(Ангилал!$E$5:$E$22,$G124&amp;" "&amp;$D124)))&gt;0,0),0)),"Бусад"))</f>
        <v>Хүнс, ус, орон сууцны эрх</v>
      </c>
      <c r="N124" s="2"/>
      <c r="O124" s="2" t="str">
        <f aca="false">IF($G124="","",IF($N124&lt;&gt;"",$N124,$M124))</f>
        <v>Хүнс, ус, орон сууцны эрх</v>
      </c>
      <c r="P124" s="2" t="str">
        <f aca="false" t="array" ref="P124:P124">IF($G124="","",IFERROR(INDEX(Ангилал!$G$5:$G$16,MATCH(TRUE(),INDEX(ISNUMBER(SEARCH(Ангилал!$H$5:$H$16,$G124&amp;" "&amp;$D124&amp;" "&amp;$E124))+ISNUMBER(SEARCH(Ангилал!$I$5:$I$16,$G124&amp;" "&amp;$D124&amp;" "&amp;$E124))+ISNUMBER(SEARCH(Ангилал!$J$5:$J$16,$G124&amp;" "&amp;$D124&amp;" "&amp;$E124))+ISNUMBER(SEARCH(Ангилал!$K$5:$K$16,$G124&amp;" "&amp;$D124&amp;" "&amp;$E124))&gt;0,0),0)),"Ерөнхий нийт"))</f>
        <v>Ерөнхий нийт</v>
      </c>
      <c r="Q124" s="2"/>
      <c r="R124" s="2" t="str">
        <f aca="false">IF($G124="","",IF($Q124&lt;&gt;"",$Q124,$P124))</f>
        <v>Ерөнхий нийт</v>
      </c>
    </row>
    <row r="125" customFormat="false" ht="26.25" hidden="false" customHeight="true" outlineLevel="0" collapsed="false">
      <c r="A125" s="8" t="s">
        <v>794</v>
      </c>
      <c r="B125" s="8"/>
      <c r="C125" s="8"/>
      <c r="D125" s="8"/>
      <c r="E125" s="8"/>
      <c r="F125" s="8"/>
      <c r="G125" s="8"/>
      <c r="H125" s="8"/>
      <c r="I125" s="8"/>
      <c r="J125" s="8"/>
      <c r="K125" s="8"/>
      <c r="L125" s="8"/>
      <c r="M125" s="2"/>
      <c r="N125" s="2"/>
      <c r="O125" s="2"/>
      <c r="P125" s="2"/>
      <c r="Q125" s="2"/>
      <c r="R125" s="2"/>
    </row>
    <row r="126" customFormat="false" ht="101.25" hidden="false" customHeight="true" outlineLevel="0" collapsed="false">
      <c r="A126" s="9" t="n">
        <v>98</v>
      </c>
      <c r="B126" s="10" t="s">
        <v>795</v>
      </c>
      <c r="C126" s="10" t="s">
        <v>796</v>
      </c>
      <c r="D126" s="11" t="s">
        <v>797</v>
      </c>
      <c r="E126" s="11" t="s">
        <v>798</v>
      </c>
      <c r="F126" s="10" t="s">
        <v>3</v>
      </c>
      <c r="G126" s="10" t="s">
        <v>799</v>
      </c>
      <c r="H126" s="10" t="s">
        <v>800</v>
      </c>
      <c r="I126" s="10" t="s">
        <v>801</v>
      </c>
      <c r="J126" s="10" t="s">
        <v>704</v>
      </c>
      <c r="K126" s="12" t="s">
        <v>802</v>
      </c>
      <c r="L126" s="10"/>
      <c r="M126" s="2" t="str">
        <f aca="false" t="array" ref="M126:M126">IF($G126="","",IFERROR(INDEX(Ангилал!$A$5:$A$22,MATCH(TRUE(),INDEX(ISNUMBER(SEARCH(Ангилал!$B$5:$B$22,$G126&amp;" "&amp;$D126))+ISNUMBER(SEARCH(Ангилал!$C$5:$C$22,$G126&amp;" "&amp;$D126))+IF(Ангилал!$D$5:$D$22="",0,ISNUMBER(SEARCH(Ангилал!$D$5:$D$22,$G126&amp;" "&amp;$D126)))+IF(Ангилал!$E$5:$E$22="",0,ISNUMBER(SEARCH(Ангилал!$E$5:$E$22,$G126&amp;" "&amp;$D126)))&gt;0,0),0)),"Бусад"))</f>
        <v>Амьд явах, халдашгүй байх эрх</v>
      </c>
      <c r="N126" s="2" t="s">
        <v>803</v>
      </c>
      <c r="O126" s="2" t="str">
        <f aca="false">IF($G126="","",IF($N126&lt;&gt;"",$N126,$M126))</f>
        <v>Хүчирхийлэл, бэлгийн дарамтаас ангид байх</v>
      </c>
      <c r="P126" s="2" t="str">
        <f aca="false" t="array" ref="P126:P126">IF($G126="","",IFERROR(INDEX(Ангилал!$G$5:$G$16,MATCH(TRUE(),INDEX(ISNUMBER(SEARCH(Ангилал!$H$5:$H$16,$G126&amp;" "&amp;$D126&amp;" "&amp;$E126))+ISNUMBER(SEARCH(Ангилал!$I$5:$I$16,$G126&amp;" "&amp;$D126&amp;" "&amp;$E126))+ISNUMBER(SEARCH(Ангилал!$J$5:$J$16,$G126&amp;" "&amp;$D126&amp;" "&amp;$E126))+ISNUMBER(SEARCH(Ангилал!$K$5:$K$16,$G126&amp;" "&amp;$D126&amp;" "&amp;$E126))&gt;0,0),0)),"Ерөнхий нийт"))</f>
        <v>Хүүхэд</v>
      </c>
      <c r="Q126" s="2" t="s">
        <v>804</v>
      </c>
      <c r="R126" s="2" t="str">
        <f aca="false">IF($G126="","",IF($Q126&lt;&gt;"",$Q126,$P126))</f>
        <v>Эмэгтэйчүүд</v>
      </c>
    </row>
    <row r="127" customFormat="false" ht="130.5" hidden="false" customHeight="true" outlineLevel="0" collapsed="false">
      <c r="A127" s="9" t="n">
        <v>99</v>
      </c>
      <c r="B127" s="10" t="s">
        <v>805</v>
      </c>
      <c r="C127" s="10" t="s">
        <v>806</v>
      </c>
      <c r="D127" s="11" t="s">
        <v>807</v>
      </c>
      <c r="E127" s="11" t="s">
        <v>808</v>
      </c>
      <c r="F127" s="10" t="s">
        <v>809</v>
      </c>
      <c r="G127" s="10" t="s">
        <v>810</v>
      </c>
      <c r="H127" s="10" t="s">
        <v>811</v>
      </c>
      <c r="I127" s="10" t="s">
        <v>812</v>
      </c>
      <c r="J127" s="10" t="s">
        <v>813</v>
      </c>
      <c r="K127" s="12" t="s">
        <v>814</v>
      </c>
      <c r="L127" s="10"/>
      <c r="M127" s="2" t="str">
        <f aca="false" t="array" ref="M127:M127">IF($G127="","",IFERROR(INDEX(Ангилал!$A$5:$A$22,MATCH(TRUE(),INDEX(ISNUMBER(SEARCH(Ангилал!$B$5:$B$22,$G127&amp;" "&amp;$D127))+ISNUMBER(SEARCH(Ангилал!$C$5:$C$22,$G127&amp;" "&amp;$D127))+IF(Ангилал!$D$5:$D$22="",0,ISNUMBER(SEARCH(Ангилал!$D$5:$D$22,$G127&amp;" "&amp;$D127)))+IF(Ангилал!$E$5:$E$22="",0,ISNUMBER(SEARCH(Ангилал!$E$5:$E$22,$G127&amp;" "&amp;$D127)))&gt;0,0),0)),"Бусад"))</f>
        <v>Эрүүдэн шүүлт, хүнлэг бус харьцаа</v>
      </c>
      <c r="N127" s="2" t="s">
        <v>815</v>
      </c>
      <c r="O127" s="2" t="str">
        <f aca="false">IF($G127="","",IF($N127&lt;&gt;"",$N127,$M127))</f>
        <v>Үзэл бодлоо илэрхийлэх, мэдээллийн эрх</v>
      </c>
      <c r="P127" s="2" t="str">
        <f aca="false" t="array" ref="P127:P127">IF($G127="","",IFERROR(INDEX(Ангилал!$G$5:$G$16,MATCH(TRUE(),INDEX(ISNUMBER(SEARCH(Ангилал!$H$5:$H$16,$G127&amp;" "&amp;$D127&amp;" "&amp;$E127))+ISNUMBER(SEARCH(Ангилал!$I$5:$I$16,$G127&amp;" "&amp;$D127&amp;" "&amp;$E127))+ISNUMBER(SEARCH(Ангилал!$J$5:$J$16,$G127&amp;" "&amp;$D127&amp;" "&amp;$E127))+ISNUMBER(SEARCH(Ангилал!$K$5:$K$16,$G127&amp;" "&amp;$D127&amp;" "&amp;$E127))&gt;0,0),0)),"Ерөнхий нийт"))</f>
        <v>Хоригдол, саатуулагдсан хүн</v>
      </c>
      <c r="Q127" s="2"/>
      <c r="R127" s="2" t="str">
        <f aca="false">IF($G127="","",IF($Q127&lt;&gt;"",$Q127,$P127))</f>
        <v>Хоригдол, саатуулагдсан хүн</v>
      </c>
    </row>
    <row r="128" customFormat="false" ht="87" hidden="false" customHeight="true" outlineLevel="0" collapsed="false">
      <c r="A128" s="9" t="n">
        <v>100</v>
      </c>
      <c r="B128" s="10" t="s">
        <v>805</v>
      </c>
      <c r="C128" s="10" t="s">
        <v>816</v>
      </c>
      <c r="D128" s="11" t="s">
        <v>817</v>
      </c>
      <c r="E128" s="11" t="s">
        <v>818</v>
      </c>
      <c r="F128" s="10" t="s">
        <v>3</v>
      </c>
      <c r="G128" s="10" t="s">
        <v>819</v>
      </c>
      <c r="H128" s="10" t="s">
        <v>820</v>
      </c>
      <c r="I128" s="10" t="s">
        <v>821</v>
      </c>
      <c r="J128" s="10" t="s">
        <v>723</v>
      </c>
      <c r="K128" s="12" t="s">
        <v>822</v>
      </c>
      <c r="L128" s="10"/>
      <c r="M128" s="2" t="str">
        <f aca="false" t="array" ref="M128:M128">IF($G128="","",IFERROR(INDEX(Ангилал!$A$5:$A$22,MATCH(TRUE(),INDEX(ISNUMBER(SEARCH(Ангилал!$B$5:$B$22,$G128&amp;" "&amp;$D128))+ISNUMBER(SEARCH(Ангилал!$C$5:$C$22,$G128&amp;" "&amp;$D128))+IF(Ангилал!$D$5:$D$22="",0,ISNUMBER(SEARCH(Ангилал!$D$5:$D$22,$G128&amp;" "&amp;$D128)))+IF(Ангилал!$E$5:$E$22="",0,ISNUMBER(SEARCH(Ангилал!$E$5:$E$22,$G128&amp;" "&amp;$D128)))&gt;0,0),0)),"Бусад"))</f>
        <v>Чөлөөтэй зорчих, эвлэлдэн нэгдэх эрх</v>
      </c>
      <c r="N128" s="2"/>
      <c r="O128" s="2" t="str">
        <f aca="false">IF($G128="","",IF($N128&lt;&gt;"",$N128,$M128))</f>
        <v>Чөлөөтэй зорчих, эвлэлдэн нэгдэх эрх</v>
      </c>
      <c r="P128" s="2" t="str">
        <f aca="false" t="array" ref="P128:P128">IF($G128="","",IFERROR(INDEX(Ангилал!$G$5:$G$16,MATCH(TRUE(),INDEX(ISNUMBER(SEARCH(Ангилал!$H$5:$H$16,$G128&amp;" "&amp;$D128&amp;" "&amp;$E128))+ISNUMBER(SEARCH(Ангилал!$I$5:$I$16,$G128&amp;" "&amp;$D128&amp;" "&amp;$E128))+ISNUMBER(SEARCH(Ангилал!$J$5:$J$16,$G128&amp;" "&amp;$D128&amp;" "&amp;$E128))+ISNUMBER(SEARCH(Ангилал!$K$5:$K$16,$G128&amp;" "&amp;$D128&amp;" "&amp;$E128))&gt;0,0),0)),"Ерөнхий нийт"))</f>
        <v>Ерөнхий нийт</v>
      </c>
      <c r="Q128" s="2"/>
      <c r="R128" s="2" t="str">
        <f aca="false">IF($G128="","",IF($Q128&lt;&gt;"",$Q128,$P128))</f>
        <v>Ерөнхий нийт</v>
      </c>
    </row>
    <row r="129" customFormat="false" ht="72" hidden="false" customHeight="true" outlineLevel="0" collapsed="false">
      <c r="A129" s="9" t="n">
        <v>101</v>
      </c>
      <c r="B129" s="10" t="s">
        <v>823</v>
      </c>
      <c r="C129" s="10" t="s">
        <v>824</v>
      </c>
      <c r="D129" s="11" t="s">
        <v>825</v>
      </c>
      <c r="E129" s="11" t="s">
        <v>826</v>
      </c>
      <c r="F129" s="10" t="s">
        <v>43</v>
      </c>
      <c r="G129" s="10" t="s">
        <v>827</v>
      </c>
      <c r="H129" s="10" t="s">
        <v>828</v>
      </c>
      <c r="I129" s="10" t="s">
        <v>829</v>
      </c>
      <c r="J129" s="10" t="s">
        <v>813</v>
      </c>
      <c r="K129" s="12" t="s">
        <v>830</v>
      </c>
      <c r="L129" s="10"/>
      <c r="M129" s="2" t="str">
        <f aca="false" t="array" ref="M129:M129">IF($G129="","",IFERROR(INDEX(Ангилал!$A$5:$A$22,MATCH(TRUE(),INDEX(ISNUMBER(SEARCH(Ангилал!$B$5:$B$22,$G129&amp;" "&amp;$D129))+ISNUMBER(SEARCH(Ангилал!$C$5:$C$22,$G129&amp;" "&amp;$D129))+IF(Ангилал!$D$5:$D$22="",0,ISNUMBER(SEARCH(Ангилал!$D$5:$D$22,$G129&amp;" "&amp;$D129)))+IF(Ангилал!$E$5:$E$22="",0,ISNUMBER(SEARCH(Ангилал!$E$5:$E$22,$G129&amp;" "&amp;$D129)))&gt;0,0),0)),"Бусад"))</f>
        <v>Хүүхдийн эрх</v>
      </c>
      <c r="N129" s="2"/>
      <c r="O129" s="2" t="str">
        <f aca="false">IF($G129="","",IF($N129&lt;&gt;"",$N129,$M129))</f>
        <v>Хүүхдийн эрх</v>
      </c>
      <c r="P129" s="2" t="str">
        <f aca="false" t="array" ref="P129:P129">IF($G129="","",IFERROR(INDEX(Ангилал!$G$5:$G$16,MATCH(TRUE(),INDEX(ISNUMBER(SEARCH(Ангилал!$H$5:$H$16,$G129&amp;" "&amp;$D129&amp;" "&amp;$E129))+ISNUMBER(SEARCH(Ангилал!$I$5:$I$16,$G129&amp;" "&amp;$D129&amp;" "&amp;$E129))+ISNUMBER(SEARCH(Ангилал!$J$5:$J$16,$G129&amp;" "&amp;$D129&amp;" "&amp;$E129))+ISNUMBER(SEARCH(Ангилал!$K$5:$K$16,$G129&amp;" "&amp;$D129&amp;" "&amp;$E129))&gt;0,0),0)),"Ерөнхий нийт"))</f>
        <v>Хүүхэд</v>
      </c>
      <c r="Q129" s="2"/>
      <c r="R129" s="2" t="str">
        <f aca="false">IF($G129="","",IF($Q129&lt;&gt;"",$Q129,$P129))</f>
        <v>Хүүхэд</v>
      </c>
    </row>
    <row r="130" customFormat="false" ht="72" hidden="false" customHeight="true" outlineLevel="0" collapsed="false">
      <c r="A130" s="9" t="n">
        <v>102</v>
      </c>
      <c r="B130" s="10" t="s">
        <v>823</v>
      </c>
      <c r="C130" s="10" t="s">
        <v>742</v>
      </c>
      <c r="D130" s="11" t="s">
        <v>831</v>
      </c>
      <c r="E130" s="11" t="s">
        <v>832</v>
      </c>
      <c r="F130" s="10" t="s">
        <v>821</v>
      </c>
      <c r="G130" s="10" t="s">
        <v>833</v>
      </c>
      <c r="H130" s="10" t="s">
        <v>834</v>
      </c>
      <c r="I130" s="10" t="s">
        <v>835</v>
      </c>
      <c r="J130" s="10" t="s">
        <v>836</v>
      </c>
      <c r="K130" s="12" t="s">
        <v>837</v>
      </c>
      <c r="L130" s="10"/>
      <c r="M130" s="2" t="str">
        <f aca="false" t="array" ref="M130:M130">IF($G130="","",IFERROR(INDEX(Ангилал!$A$5:$A$22,MATCH(TRUE(),INDEX(ISNUMBER(SEARCH(Ангилал!$B$5:$B$22,$G130&amp;" "&amp;$D130))+ISNUMBER(SEARCH(Ангилал!$C$5:$C$22,$G130&amp;" "&amp;$D130))+IF(Ангилал!$D$5:$D$22="",0,ISNUMBER(SEARCH(Ангилал!$D$5:$D$22,$G130&amp;" "&amp;$D130)))+IF(Ангилал!$E$5:$E$22="",0,ISNUMBER(SEARCH(Ангилал!$E$5:$E$22,$G130&amp;" "&amp;$D130)))&gt;0,0),0)),"Бусад"))</f>
        <v>Хүүхдийн эрх</v>
      </c>
      <c r="N130" s="2"/>
      <c r="O130" s="2" t="str">
        <f aca="false">IF($G130="","",IF($N130&lt;&gt;"",$N130,$M130))</f>
        <v>Хүүхдийн эрх</v>
      </c>
      <c r="P130" s="2" t="str">
        <f aca="false" t="array" ref="P130:P130">IF($G130="","",IFERROR(INDEX(Ангилал!$G$5:$G$16,MATCH(TRUE(),INDEX(ISNUMBER(SEARCH(Ангилал!$H$5:$H$16,$G130&amp;" "&amp;$D130&amp;" "&amp;$E130))+ISNUMBER(SEARCH(Ангилал!$I$5:$I$16,$G130&amp;" "&amp;$D130&amp;" "&amp;$E130))+ISNUMBER(SEARCH(Ангилал!$J$5:$J$16,$G130&amp;" "&amp;$D130&amp;" "&amp;$E130))+ISNUMBER(SEARCH(Ангилал!$K$5:$K$16,$G130&amp;" "&amp;$D130&amp;" "&amp;$E130))&gt;0,0),0)),"Ерөнхий нийт"))</f>
        <v>Хүүхэд</v>
      </c>
      <c r="Q130" s="2"/>
      <c r="R130" s="2" t="str">
        <f aca="false">IF($G130="","",IF($Q130&lt;&gt;"",$Q130,$P130))</f>
        <v>Хүүхэд</v>
      </c>
    </row>
    <row r="131" customFormat="false" ht="87" hidden="false" customHeight="true" outlineLevel="0" collapsed="false">
      <c r="A131" s="9" t="n">
        <v>103</v>
      </c>
      <c r="B131" s="10" t="s">
        <v>823</v>
      </c>
      <c r="C131" s="10" t="s">
        <v>838</v>
      </c>
      <c r="D131" s="11" t="s">
        <v>839</v>
      </c>
      <c r="E131" s="11" t="s">
        <v>840</v>
      </c>
      <c r="F131" s="10" t="s">
        <v>43</v>
      </c>
      <c r="G131" s="10" t="s">
        <v>841</v>
      </c>
      <c r="H131" s="10" t="s">
        <v>842</v>
      </c>
      <c r="I131" s="10" t="s">
        <v>821</v>
      </c>
      <c r="J131" s="10" t="s">
        <v>723</v>
      </c>
      <c r="K131" s="12" t="s">
        <v>843</v>
      </c>
      <c r="L131" s="10"/>
      <c r="M131" s="2" t="str">
        <f aca="false" t="array" ref="M131:M131">IF($G131="","",IFERROR(INDEX(Ангилал!$A$5:$A$22,MATCH(TRUE(),INDEX(ISNUMBER(SEARCH(Ангилал!$B$5:$B$22,$G131&amp;" "&amp;$D131))+ISNUMBER(SEARCH(Ангилал!$C$5:$C$22,$G131&amp;" "&amp;$D131))+IF(Ангилал!$D$5:$D$22="",0,ISNUMBER(SEARCH(Ангилал!$D$5:$D$22,$G131&amp;" "&amp;$D131)))+IF(Ангилал!$E$5:$E$22="",0,ISNUMBER(SEARCH(Ангилал!$E$5:$E$22,$G131&amp;" "&amp;$D131)))&gt;0,0),0)),"Бусад"))</f>
        <v>Үзэл бодлоо илэрхийлэх, мэдээллийн эрх</v>
      </c>
      <c r="N131" s="2"/>
      <c r="O131" s="2" t="str">
        <f aca="false">IF($G131="","",IF($N131&lt;&gt;"",$N131,$M131))</f>
        <v>Үзэл бодлоо илэрхийлэх, мэдээллийн эрх</v>
      </c>
      <c r="P131" s="2" t="str">
        <f aca="false" t="array" ref="P131:P131">IF($G131="","",IFERROR(INDEX(Ангилал!$G$5:$G$16,MATCH(TRUE(),INDEX(ISNUMBER(SEARCH(Ангилал!$H$5:$H$16,$G131&amp;" "&amp;$D131&amp;" "&amp;$E131))+ISNUMBER(SEARCH(Ангилал!$I$5:$I$16,$G131&amp;" "&amp;$D131&amp;" "&amp;$E131))+ISNUMBER(SEARCH(Ангилал!$J$5:$J$16,$G131&amp;" "&amp;$D131&amp;" "&amp;$E131))+ISNUMBER(SEARCH(Ангилал!$K$5:$K$16,$G131&amp;" "&amp;$D131&amp;" "&amp;$E131))&gt;0,0),0)),"Ерөнхий нийт"))</f>
        <v>Ерөнхий нийт</v>
      </c>
      <c r="Q131" s="2"/>
      <c r="R131" s="2" t="str">
        <f aca="false">IF($G131="","",IF($Q131&lt;&gt;"",$Q131,$P131))</f>
        <v>Ерөнхий нийт</v>
      </c>
    </row>
    <row r="132" customFormat="false" ht="87" hidden="false" customHeight="true" outlineLevel="0" collapsed="false">
      <c r="A132" s="9" t="n">
        <v>104</v>
      </c>
      <c r="B132" s="10" t="s">
        <v>823</v>
      </c>
      <c r="C132" s="10" t="s">
        <v>844</v>
      </c>
      <c r="D132" s="11" t="s">
        <v>845</v>
      </c>
      <c r="E132" s="11" t="s">
        <v>846</v>
      </c>
      <c r="F132" s="10" t="s">
        <v>847</v>
      </c>
      <c r="G132" s="10" t="s">
        <v>848</v>
      </c>
      <c r="H132" s="10" t="s">
        <v>849</v>
      </c>
      <c r="I132" s="10" t="s">
        <v>850</v>
      </c>
      <c r="J132" s="10" t="s">
        <v>851</v>
      </c>
      <c r="K132" s="12" t="s">
        <v>852</v>
      </c>
      <c r="L132" s="10"/>
      <c r="M132" s="2" t="str">
        <f aca="false" t="array" ref="M132:M132">IF($G132="","",IFERROR(INDEX(Ангилал!$A$5:$A$22,MATCH(TRUE(),INDEX(ISNUMBER(SEARCH(Ангилал!$B$5:$B$22,$G132&amp;" "&amp;$D132))+ISNUMBER(SEARCH(Ангилал!$C$5:$C$22,$G132&amp;" "&amp;$D132))+IF(Ангилал!$D$5:$D$22="",0,ISNUMBER(SEARCH(Ангилал!$D$5:$D$22,$G132&amp;" "&amp;$D132)))+IF(Ангилал!$E$5:$E$22="",0,ISNUMBER(SEARCH(Ангилал!$E$5:$E$22,$G132&amp;" "&amp;$D132)))&gt;0,0),0)),"Бусад"))</f>
        <v>Эрүүл, аюулгүй орчинд амьдрах эрх</v>
      </c>
      <c r="N132" s="2"/>
      <c r="O132" s="2" t="str">
        <f aca="false">IF($G132="","",IF($N132&lt;&gt;"",$N132,$M132))</f>
        <v>Эрүүл, аюулгүй орчинд амьдрах эрх</v>
      </c>
      <c r="P132" s="2" t="str">
        <f aca="false" t="array" ref="P132:P132">IF($G132="","",IFERROR(INDEX(Ангилал!$G$5:$G$16,MATCH(TRUE(),INDEX(ISNUMBER(SEARCH(Ангилал!$H$5:$H$16,$G132&amp;" "&amp;$D132&amp;" "&amp;$E132))+ISNUMBER(SEARCH(Ангилал!$I$5:$I$16,$G132&amp;" "&amp;$D132&amp;" "&amp;$E132))+ISNUMBER(SEARCH(Ангилал!$J$5:$J$16,$G132&amp;" "&amp;$D132&amp;" "&amp;$E132))+ISNUMBER(SEARCH(Ангилал!$K$5:$K$16,$G132&amp;" "&amp;$D132&amp;" "&amp;$E132))&gt;0,0),0)),"Ерөнхий нийт"))</f>
        <v>Ерөнхий нийт</v>
      </c>
      <c r="Q132" s="2"/>
      <c r="R132" s="2" t="str">
        <f aca="false">IF($G132="","",IF($Q132&lt;&gt;"",$Q132,$P132))</f>
        <v>Ерөнхий нийт</v>
      </c>
    </row>
    <row r="133" customFormat="false" ht="101.25" hidden="false" customHeight="true" outlineLevel="0" collapsed="false">
      <c r="A133" s="9" t="n">
        <v>105</v>
      </c>
      <c r="B133" s="10" t="s">
        <v>853</v>
      </c>
      <c r="C133" s="10" t="s">
        <v>854</v>
      </c>
      <c r="D133" s="11" t="s">
        <v>855</v>
      </c>
      <c r="E133" s="11" t="s">
        <v>856</v>
      </c>
      <c r="F133" s="10" t="s">
        <v>3</v>
      </c>
      <c r="G133" s="10" t="s">
        <v>857</v>
      </c>
      <c r="H133" s="10" t="s">
        <v>858</v>
      </c>
      <c r="I133" s="10" t="s">
        <v>859</v>
      </c>
      <c r="J133" s="10" t="s">
        <v>860</v>
      </c>
      <c r="K133" s="12" t="s">
        <v>861</v>
      </c>
      <c r="L133" s="10"/>
      <c r="M133" s="2" t="str">
        <f aca="false" t="array" ref="M133:M133">IF($G133="","",IFERROR(INDEX(Ангилал!$A$5:$A$22,MATCH(TRUE(),INDEX(ISNUMBER(SEARCH(Ангилал!$B$5:$B$22,$G133&amp;" "&amp;$D133))+ISNUMBER(SEARCH(Ангилал!$C$5:$C$22,$G133&amp;" "&amp;$D133))+IF(Ангилал!$D$5:$D$22="",0,ISNUMBER(SEARCH(Ангилал!$D$5:$D$22,$G133&amp;" "&amp;$D133)))+IF(Ангилал!$E$5:$E$22="",0,ISNUMBER(SEARCH(Ангилал!$E$5:$E$22,$G133&amp;" "&amp;$D133)))&gt;0,0),0)),"Бусад"))</f>
        <v>Боловсролын эрх</v>
      </c>
      <c r="N133" s="2"/>
      <c r="O133" s="2" t="str">
        <f aca="false">IF($G133="","",IF($N133&lt;&gt;"",$N133,$M133))</f>
        <v>Боловсролын эрх</v>
      </c>
      <c r="P133" s="2" t="str">
        <f aca="false" t="array" ref="P133:P133">IF($G133="","",IFERROR(INDEX(Ангилал!$G$5:$G$16,MATCH(TRUE(),INDEX(ISNUMBER(SEARCH(Ангилал!$H$5:$H$16,$G133&amp;" "&amp;$D133&amp;" "&amp;$E133))+ISNUMBER(SEARCH(Ангилал!$I$5:$I$16,$G133&amp;" "&amp;$D133&amp;" "&amp;$E133))+ISNUMBER(SEARCH(Ангилал!$J$5:$J$16,$G133&amp;" "&amp;$D133&amp;" "&amp;$E133))+ISNUMBER(SEARCH(Ангилал!$K$5:$K$16,$G133&amp;" "&amp;$D133&amp;" "&amp;$E133))&gt;0,0),0)),"Ерөнхий нийт"))</f>
        <v>Ерөнхий нийт</v>
      </c>
      <c r="Q133" s="2"/>
      <c r="R133" s="2" t="str">
        <f aca="false">IF($G133="","",IF($Q133&lt;&gt;"",$Q133,$P133))</f>
        <v>Ерөнхий нийт</v>
      </c>
    </row>
    <row r="134" customFormat="false" ht="87" hidden="false" customHeight="true" outlineLevel="0" collapsed="false">
      <c r="A134" s="9" t="n">
        <v>106</v>
      </c>
      <c r="B134" s="10" t="s">
        <v>853</v>
      </c>
      <c r="C134" s="10" t="s">
        <v>862</v>
      </c>
      <c r="D134" s="11" t="s">
        <v>863</v>
      </c>
      <c r="E134" s="11" t="s">
        <v>864</v>
      </c>
      <c r="F134" s="10" t="s">
        <v>865</v>
      </c>
      <c r="G134" s="10" t="s">
        <v>866</v>
      </c>
      <c r="H134" s="10" t="s">
        <v>867</v>
      </c>
      <c r="I134" s="10" t="s">
        <v>821</v>
      </c>
      <c r="J134" s="10" t="s">
        <v>868</v>
      </c>
      <c r="K134" s="12" t="s">
        <v>869</v>
      </c>
      <c r="L134" s="10"/>
      <c r="M134" s="2" t="str">
        <f aca="false" t="array" ref="M134:M134">IF($G134="","",IFERROR(INDEX(Ангилал!$A$5:$A$22,MATCH(TRUE(),INDEX(ISNUMBER(SEARCH(Ангилал!$B$5:$B$22,$G134&amp;" "&amp;$D134))+ISNUMBER(SEARCH(Ангилал!$C$5:$C$22,$G134&amp;" "&amp;$D134))+IF(Ангилал!$D$5:$D$22="",0,ISNUMBER(SEARCH(Ангилал!$D$5:$D$22,$G134&amp;" "&amp;$D134)))+IF(Ангилал!$E$5:$E$22="",0,ISNUMBER(SEARCH(Ангилал!$E$5:$E$22,$G134&amp;" "&amp;$D134)))&gt;0,0),0)),"Бусад"))</f>
        <v>Эрүүл мэндийн эрх</v>
      </c>
      <c r="N134" s="2" t="s">
        <v>870</v>
      </c>
      <c r="O134" s="2" t="str">
        <f aca="false">IF($G134="","",IF($N134&lt;&gt;"",$N134,$M134))</f>
        <v>Нийгмийн хамгаалал, халамжийн эрх</v>
      </c>
      <c r="P134" s="2" t="str">
        <f aca="false" t="array" ref="P134:P134">IF($G134="","",IFERROR(INDEX(Ангилал!$G$5:$G$16,MATCH(TRUE(),INDEX(ISNUMBER(SEARCH(Ангилал!$H$5:$H$16,$G134&amp;" "&amp;$D134&amp;" "&amp;$E134))+ISNUMBER(SEARCH(Ангилал!$I$5:$I$16,$G134&amp;" "&amp;$D134&amp;" "&amp;$E134))+ISNUMBER(SEARCH(Ангилал!$J$5:$J$16,$G134&amp;" "&amp;$D134&amp;" "&amp;$E134))+ISNUMBER(SEARCH(Ангилал!$K$5:$K$16,$G134&amp;" "&amp;$D134&amp;" "&amp;$E134))&gt;0,0),0)),"Ерөнхий нийт"))</f>
        <v>Ахмад настан</v>
      </c>
      <c r="Q134" s="2"/>
      <c r="R134" s="2" t="str">
        <f aca="false">IF($G134="","",IF($Q134&lt;&gt;"",$Q134,$P134))</f>
        <v>Ахмад настан</v>
      </c>
    </row>
    <row r="135" customFormat="false" ht="87" hidden="false" customHeight="true" outlineLevel="0" collapsed="false">
      <c r="A135" s="9" t="n">
        <v>107</v>
      </c>
      <c r="B135" s="10" t="s">
        <v>853</v>
      </c>
      <c r="C135" s="10" t="s">
        <v>862</v>
      </c>
      <c r="D135" s="11" t="s">
        <v>871</v>
      </c>
      <c r="E135" s="11" t="s">
        <v>872</v>
      </c>
      <c r="F135" s="10" t="s">
        <v>43</v>
      </c>
      <c r="G135" s="10" t="s">
        <v>873</v>
      </c>
      <c r="H135" s="10" t="s">
        <v>874</v>
      </c>
      <c r="I135" s="10" t="s">
        <v>821</v>
      </c>
      <c r="J135" s="10" t="s">
        <v>723</v>
      </c>
      <c r="K135" s="12" t="s">
        <v>875</v>
      </c>
      <c r="L135" s="10"/>
      <c r="M135" s="2" t="str">
        <f aca="false" t="array" ref="M135:M135">IF($G135="","",IFERROR(INDEX(Ангилал!$A$5:$A$22,MATCH(TRUE(),INDEX(ISNUMBER(SEARCH(Ангилал!$B$5:$B$22,$G135&amp;" "&amp;$D135))+ISNUMBER(SEARCH(Ангилал!$C$5:$C$22,$G135&amp;" "&amp;$D135))+IF(Ангилал!$D$5:$D$22="",0,ISNUMBER(SEARCH(Ангилал!$D$5:$D$22,$G135&amp;" "&amp;$D135)))+IF(Ангилал!$E$5:$E$22="",0,ISNUMBER(SEARCH(Ангилал!$E$5:$E$22,$G135&amp;" "&amp;$D135)))&gt;0,0),0)),"Бусад"))</f>
        <v>Хүүхдийн эрх</v>
      </c>
      <c r="N135" s="2"/>
      <c r="O135" s="2" t="str">
        <f aca="false">IF($G135="","",IF($N135&lt;&gt;"",$N135,$M135))</f>
        <v>Хүүхдийн эрх</v>
      </c>
      <c r="P135" s="2" t="str">
        <f aca="false" t="array" ref="P135:P135">IF($G135="","",IFERROR(INDEX(Ангилал!$G$5:$G$16,MATCH(TRUE(),INDEX(ISNUMBER(SEARCH(Ангилал!$H$5:$H$16,$G135&amp;" "&amp;$D135&amp;" "&amp;$E135))+ISNUMBER(SEARCH(Ангилал!$I$5:$I$16,$G135&amp;" "&amp;$D135&amp;" "&amp;$E135))+ISNUMBER(SEARCH(Ангилал!$J$5:$J$16,$G135&amp;" "&amp;$D135&amp;" "&amp;$E135))+ISNUMBER(SEARCH(Ангилал!$K$5:$K$16,$G135&amp;" "&amp;$D135&amp;" "&amp;$E135))&gt;0,0),0)),"Ерөнхий нийт"))</f>
        <v>Хүүхэд</v>
      </c>
      <c r="Q135" s="2"/>
      <c r="R135" s="2" t="str">
        <f aca="false">IF($G135="","",IF($Q135&lt;&gt;"",$Q135,$P135))</f>
        <v>Хүүхэд</v>
      </c>
    </row>
    <row r="136" customFormat="false" ht="115.5" hidden="false" customHeight="true" outlineLevel="0" collapsed="false">
      <c r="A136" s="9" t="n">
        <v>108</v>
      </c>
      <c r="B136" s="10" t="s">
        <v>876</v>
      </c>
      <c r="C136" s="10" t="s">
        <v>853</v>
      </c>
      <c r="D136" s="11" t="s">
        <v>877</v>
      </c>
      <c r="E136" s="11" t="s">
        <v>878</v>
      </c>
      <c r="F136" s="10" t="s">
        <v>879</v>
      </c>
      <c r="G136" s="10" t="s">
        <v>880</v>
      </c>
      <c r="H136" s="10" t="s">
        <v>881</v>
      </c>
      <c r="I136" s="10" t="s">
        <v>882</v>
      </c>
      <c r="J136" s="10" t="s">
        <v>883</v>
      </c>
      <c r="K136" s="12" t="s">
        <v>884</v>
      </c>
      <c r="L136" s="10"/>
      <c r="M136" s="2" t="str">
        <f aca="false" t="array" ref="M136:M136">IF($G136="","",IFERROR(INDEX(Ангилал!$A$5:$A$22,MATCH(TRUE(),INDEX(ISNUMBER(SEARCH(Ангилал!$B$5:$B$22,$G136&amp;" "&amp;$D136))+ISNUMBER(SEARCH(Ангилал!$C$5:$C$22,$G136&amp;" "&amp;$D136))+IF(Ангилал!$D$5:$D$22="",0,ISNUMBER(SEARCH(Ангилал!$D$5:$D$22,$G136&amp;" "&amp;$D136)))+IF(Ангилал!$E$5:$E$22="",0,ISNUMBER(SEARCH(Ангилал!$E$5:$E$22,$G136&amp;" "&amp;$D136)))&gt;0,0),0)),"Бусад"))</f>
        <v>Үзэл бодлоо илэрхийлэх, мэдээллийн эрх</v>
      </c>
      <c r="N136" s="2" t="s">
        <v>885</v>
      </c>
      <c r="O136" s="2" t="str">
        <f aca="false">IF($G136="","",IF($N136&lt;&gt;"",$N136,$M136))</f>
        <v>Чөлөөтэй зорчих, эвлэлдэн нэгдэх эрх</v>
      </c>
      <c r="P136" s="2" t="str">
        <f aca="false" t="array" ref="P136:P136">IF($G136="","",IFERROR(INDEX(Ангилал!$G$5:$G$16,MATCH(TRUE(),INDEX(ISNUMBER(SEARCH(Ангилал!$H$5:$H$16,$G136&amp;" "&amp;$D136&amp;" "&amp;$E136))+ISNUMBER(SEARCH(Ангилал!$I$5:$I$16,$G136&amp;" "&amp;$D136&amp;" "&amp;$E136))+ISNUMBER(SEARCH(Ангилал!$J$5:$J$16,$G136&amp;" "&amp;$D136&amp;" "&amp;$E136))+ISNUMBER(SEARCH(Ангилал!$K$5:$K$16,$G136&amp;" "&amp;$D136&amp;" "&amp;$E136))&gt;0,0),0)),"Ерөнхий нийт"))</f>
        <v>Хүүхэд</v>
      </c>
      <c r="Q136" s="2" t="s">
        <v>886</v>
      </c>
      <c r="R136" s="2" t="str">
        <f aca="false">IF($G136="","",IF($Q136&lt;&gt;"",$Q136,$P136))</f>
        <v>Ерөнхий нийт</v>
      </c>
    </row>
    <row r="137" customFormat="false" ht="72" hidden="false" customHeight="true" outlineLevel="0" collapsed="false">
      <c r="A137" s="9" t="n">
        <v>109</v>
      </c>
      <c r="B137" s="10" t="s">
        <v>876</v>
      </c>
      <c r="C137" s="10" t="s">
        <v>887</v>
      </c>
      <c r="D137" s="11" t="s">
        <v>888</v>
      </c>
      <c r="E137" s="11" t="s">
        <v>889</v>
      </c>
      <c r="F137" s="10" t="s">
        <v>3</v>
      </c>
      <c r="G137" s="10" t="s">
        <v>890</v>
      </c>
      <c r="H137" s="10" t="s">
        <v>891</v>
      </c>
      <c r="I137" s="10" t="s">
        <v>892</v>
      </c>
      <c r="J137" s="10" t="s">
        <v>723</v>
      </c>
      <c r="K137" s="12" t="s">
        <v>893</v>
      </c>
      <c r="L137" s="10"/>
      <c r="M137" s="2" t="str">
        <f aca="false" t="array" ref="M137:M137">IF($G137="","",IFERROR(INDEX(Ангилал!$A$5:$A$22,MATCH(TRUE(),INDEX(ISNUMBER(SEARCH(Ангилал!$B$5:$B$22,$G137&amp;" "&amp;$D137))+ISNUMBER(SEARCH(Ангилал!$C$5:$C$22,$G137&amp;" "&amp;$D137))+IF(Ангилал!$D$5:$D$22="",0,ISNUMBER(SEARCH(Ангилал!$D$5:$D$22,$G137&amp;" "&amp;$D137)))+IF(Ангилал!$E$5:$E$22="",0,ISNUMBER(SEARCH(Ангилал!$E$5:$E$22,$G137&amp;" "&amp;$D137)))&gt;0,0),0)),"Бусад"))</f>
        <v>Хүүхдийн эрх</v>
      </c>
      <c r="N137" s="2"/>
      <c r="O137" s="2" t="str">
        <f aca="false">IF($G137="","",IF($N137&lt;&gt;"",$N137,$M137))</f>
        <v>Хүүхдийн эрх</v>
      </c>
      <c r="P137" s="2" t="str">
        <f aca="false" t="array" ref="P137:P137">IF($G137="","",IFERROR(INDEX(Ангилал!$G$5:$G$16,MATCH(TRUE(),INDEX(ISNUMBER(SEARCH(Ангилал!$H$5:$H$16,$G137&amp;" "&amp;$D137&amp;" "&amp;$E137))+ISNUMBER(SEARCH(Ангилал!$I$5:$I$16,$G137&amp;" "&amp;$D137&amp;" "&amp;$E137))+ISNUMBER(SEARCH(Ангилал!$J$5:$J$16,$G137&amp;" "&amp;$D137&amp;" "&amp;$E137))+ISNUMBER(SEARCH(Ангилал!$K$5:$K$16,$G137&amp;" "&amp;$D137&amp;" "&amp;$E137))&gt;0,0),0)),"Ерөнхий нийт"))</f>
        <v>Хүүхэд</v>
      </c>
      <c r="Q137" s="2"/>
      <c r="R137" s="2" t="str">
        <f aca="false">IF($G137="","",IF($Q137&lt;&gt;"",$Q137,$P137))</f>
        <v>Хүүхэд</v>
      </c>
    </row>
    <row r="138" customFormat="false" ht="87" hidden="false" customHeight="true" outlineLevel="0" collapsed="false">
      <c r="A138" s="9" t="n">
        <v>110</v>
      </c>
      <c r="B138" s="10" t="s">
        <v>876</v>
      </c>
      <c r="C138" s="10" t="s">
        <v>894</v>
      </c>
      <c r="D138" s="11" t="s">
        <v>895</v>
      </c>
      <c r="E138" s="11" t="s">
        <v>896</v>
      </c>
      <c r="F138" s="10" t="s">
        <v>3</v>
      </c>
      <c r="G138" s="10" t="s">
        <v>897</v>
      </c>
      <c r="H138" s="10" t="s">
        <v>898</v>
      </c>
      <c r="I138" s="10" t="s">
        <v>899</v>
      </c>
      <c r="J138" s="10" t="s">
        <v>723</v>
      </c>
      <c r="K138" s="12" t="s">
        <v>900</v>
      </c>
      <c r="L138" s="10"/>
      <c r="M138" s="2" t="str">
        <f aca="false" t="array" ref="M138:M138">IF($G138="","",IFERROR(INDEX(Ангилал!$A$5:$A$22,MATCH(TRUE(),INDEX(ISNUMBER(SEARCH(Ангилал!$B$5:$B$22,$G138&amp;" "&amp;$D138))+ISNUMBER(SEARCH(Ангилал!$C$5:$C$22,$G138&amp;" "&amp;$D138))+IF(Ангилал!$D$5:$D$22="",0,ISNUMBER(SEARCH(Ангилал!$D$5:$D$22,$G138&amp;" "&amp;$D138)))+IF(Ангилал!$E$5:$E$22="",0,ISNUMBER(SEARCH(Ангилал!$E$5:$E$22,$G138&amp;" "&amp;$D138)))&gt;0,0),0)),"Бусад"))</f>
        <v>Эрүүл мэндийн эрх</v>
      </c>
      <c r="N138" s="2" t="s">
        <v>96</v>
      </c>
      <c r="O138" s="2" t="str">
        <f aca="false">IF($G138="","",IF($N138&lt;&gt;"",$N138,$M138))</f>
        <v>Эрүүл, аюулгүй орчинд амьдрах эрх</v>
      </c>
      <c r="P138" s="2" t="str">
        <f aca="false" t="array" ref="P138:P138">IF($G138="","",IFERROR(INDEX(Ангилал!$G$5:$G$16,MATCH(TRUE(),INDEX(ISNUMBER(SEARCH(Ангилал!$H$5:$H$16,$G138&amp;" "&amp;$D138&amp;" "&amp;$E138))+ISNUMBER(SEARCH(Ангилал!$I$5:$I$16,$G138&amp;" "&amp;$D138&amp;" "&amp;$E138))+ISNUMBER(SEARCH(Ангилал!$J$5:$J$16,$G138&amp;" "&amp;$D138&amp;" "&amp;$E138))+ISNUMBER(SEARCH(Ангилал!$K$5:$K$16,$G138&amp;" "&amp;$D138&amp;" "&amp;$E138))&gt;0,0),0)),"Ерөнхий нийт"))</f>
        <v>Ерөнхий нийт</v>
      </c>
      <c r="Q138" s="2"/>
      <c r="R138" s="2" t="str">
        <f aca="false">IF($G138="","",IF($Q138&lt;&gt;"",$Q138,$P138))</f>
        <v>Ерөнхий нийт</v>
      </c>
    </row>
    <row r="139" customFormat="false" ht="72" hidden="false" customHeight="true" outlineLevel="0" collapsed="false">
      <c r="A139" s="9" t="n">
        <v>111</v>
      </c>
      <c r="B139" s="10" t="s">
        <v>876</v>
      </c>
      <c r="C139" s="10" t="s">
        <v>853</v>
      </c>
      <c r="D139" s="11" t="s">
        <v>901</v>
      </c>
      <c r="E139" s="11" t="s">
        <v>902</v>
      </c>
      <c r="F139" s="10" t="s">
        <v>43</v>
      </c>
      <c r="G139" s="10" t="s">
        <v>903</v>
      </c>
      <c r="H139" s="10" t="s">
        <v>904</v>
      </c>
      <c r="I139" s="10" t="s">
        <v>905</v>
      </c>
      <c r="J139" s="10" t="s">
        <v>851</v>
      </c>
      <c r="K139" s="12" t="s">
        <v>906</v>
      </c>
      <c r="L139" s="10"/>
      <c r="M139" s="2" t="str">
        <f aca="false" t="array" ref="M139:M139">IF($G139="","",IFERROR(INDEX(Ангилал!$A$5:$A$22,MATCH(TRUE(),INDEX(ISNUMBER(SEARCH(Ангилал!$B$5:$B$22,$G139&amp;" "&amp;$D139))+ISNUMBER(SEARCH(Ангилал!$C$5:$C$22,$G139&amp;" "&amp;$D139))+IF(Ангилал!$D$5:$D$22="",0,ISNUMBER(SEARCH(Ангилал!$D$5:$D$22,$G139&amp;" "&amp;$D139)))+IF(Ангилал!$E$5:$E$22="",0,ISNUMBER(SEARCH(Ангилал!$E$5:$E$22,$G139&amp;" "&amp;$D139)))&gt;0,0),0)),"Бусад"))</f>
        <v>Хүүхдийн эрх</v>
      </c>
      <c r="N139" s="2" t="s">
        <v>803</v>
      </c>
      <c r="O139" s="2" t="str">
        <f aca="false">IF($G139="","",IF($N139&lt;&gt;"",$N139,$M139))</f>
        <v>Хүчирхийлэл, бэлгийн дарамтаас ангид байх</v>
      </c>
      <c r="P139" s="2" t="str">
        <f aca="false" t="array" ref="P139:P139">IF($G139="","",IFERROR(INDEX(Ангилал!$G$5:$G$16,MATCH(TRUE(),INDEX(ISNUMBER(SEARCH(Ангилал!$H$5:$H$16,$G139&amp;" "&amp;$D139&amp;" "&amp;$E139))+ISNUMBER(SEARCH(Ангилал!$I$5:$I$16,$G139&amp;" "&amp;$D139&amp;" "&amp;$E139))+ISNUMBER(SEARCH(Ангилал!$J$5:$J$16,$G139&amp;" "&amp;$D139&amp;" "&amp;$E139))+ISNUMBER(SEARCH(Ангилал!$K$5:$K$16,$G139&amp;" "&amp;$D139&amp;" "&amp;$E139))&gt;0,0),0)),"Ерөнхий нийт"))</f>
        <v>Хүүхэд</v>
      </c>
      <c r="Q139" s="2"/>
      <c r="R139" s="2" t="str">
        <f aca="false">IF($G139="","",IF($Q139&lt;&gt;"",$Q139,$P139))</f>
        <v>Хүүхэд</v>
      </c>
    </row>
    <row r="140" customFormat="false" ht="26.25" hidden="false" customHeight="true" outlineLevel="0" collapsed="false">
      <c r="A140" s="8" t="s">
        <v>907</v>
      </c>
      <c r="B140" s="8"/>
      <c r="C140" s="8"/>
      <c r="D140" s="8"/>
      <c r="E140" s="8"/>
      <c r="F140" s="8"/>
      <c r="G140" s="8"/>
      <c r="H140" s="8"/>
      <c r="I140" s="8"/>
      <c r="J140" s="8"/>
      <c r="K140" s="8"/>
      <c r="L140" s="8"/>
      <c r="M140" s="2"/>
      <c r="N140" s="2"/>
      <c r="O140" s="2"/>
      <c r="P140" s="2"/>
      <c r="Q140" s="2"/>
      <c r="R140" s="2"/>
    </row>
    <row r="141" customFormat="false" ht="115.5" hidden="false" customHeight="true" outlineLevel="0" collapsed="false">
      <c r="A141" s="9" t="n">
        <v>112</v>
      </c>
      <c r="B141" s="10" t="s">
        <v>908</v>
      </c>
      <c r="C141" s="10" t="s">
        <v>894</v>
      </c>
      <c r="D141" s="11" t="s">
        <v>909</v>
      </c>
      <c r="E141" s="11" t="s">
        <v>910</v>
      </c>
      <c r="F141" s="10" t="s">
        <v>43</v>
      </c>
      <c r="G141" s="10" t="s">
        <v>911</v>
      </c>
      <c r="H141" s="10" t="s">
        <v>912</v>
      </c>
      <c r="I141" s="10" t="s">
        <v>913</v>
      </c>
      <c r="J141" s="10" t="s">
        <v>836</v>
      </c>
      <c r="K141" s="12" t="s">
        <v>914</v>
      </c>
      <c r="L141" s="10"/>
      <c r="M141" s="2" t="str">
        <f aca="false" t="array" ref="M141:M141">IF($G141="","",IFERROR(INDEX(Ангилал!$A$5:$A$22,MATCH(TRUE(),INDEX(ISNUMBER(SEARCH(Ангилал!$B$5:$B$22,$G141&amp;" "&amp;$D141))+ISNUMBER(SEARCH(Ангилал!$C$5:$C$22,$G141&amp;" "&amp;$D141))+IF(Ангилал!$D$5:$D$22="",0,ISNUMBER(SEARCH(Ангилал!$D$5:$D$22,$G141&amp;" "&amp;$D141)))+IF(Ангилал!$E$5:$E$22="",0,ISNUMBER(SEARCH(Ангилал!$E$5:$E$22,$G141&amp;" "&amp;$D141)))&gt;0,0),0)),"Бусад"))</f>
        <v>Хөдөлмөрлөх эрх</v>
      </c>
      <c r="N141" s="2"/>
      <c r="O141" s="2" t="str">
        <f aca="false">IF($G141="","",IF($N141&lt;&gt;"",$N141,$M141))</f>
        <v>Хөдөлмөрлөх эрх</v>
      </c>
      <c r="P141" s="2" t="str">
        <f aca="false" t="array" ref="P141:P141">IF($G141="","",IFERROR(INDEX(Ангилал!$G$5:$G$16,MATCH(TRUE(),INDEX(ISNUMBER(SEARCH(Ангилал!$H$5:$H$16,$G141&amp;" "&amp;$D141&amp;" "&amp;$E141))+ISNUMBER(SEARCH(Ангилал!$I$5:$I$16,$G141&amp;" "&amp;$D141&amp;" "&amp;$E141))+ISNUMBER(SEARCH(Ангилал!$J$5:$J$16,$G141&amp;" "&amp;$D141&amp;" "&amp;$E141))+ISNUMBER(SEARCH(Ангилал!$K$5:$K$16,$G141&amp;" "&amp;$D141&amp;" "&amp;$E141))&gt;0,0),0)),"Ерөнхий нийт"))</f>
        <v>Ажилчид, хөдөлмөр эрхлэгчид</v>
      </c>
      <c r="Q141" s="2" t="s">
        <v>915</v>
      </c>
      <c r="R141" s="2" t="str">
        <f aca="false">IF($G141="","",IF($Q141&lt;&gt;"",$Q141,$P141))</f>
        <v>Ажилчид, хөдөлмөр эрхлэгчид</v>
      </c>
    </row>
    <row r="142" customFormat="false" ht="101.25" hidden="false" customHeight="true" outlineLevel="0" collapsed="false">
      <c r="A142" s="9" t="n">
        <v>113</v>
      </c>
      <c r="B142" s="10" t="s">
        <v>908</v>
      </c>
      <c r="C142" s="10" t="s">
        <v>862</v>
      </c>
      <c r="D142" s="11" t="s">
        <v>916</v>
      </c>
      <c r="E142" s="11" t="s">
        <v>917</v>
      </c>
      <c r="F142" s="10" t="s">
        <v>918</v>
      </c>
      <c r="G142" s="10" t="s">
        <v>848</v>
      </c>
      <c r="H142" s="10" t="s">
        <v>919</v>
      </c>
      <c r="I142" s="10" t="s">
        <v>920</v>
      </c>
      <c r="J142" s="10" t="s">
        <v>723</v>
      </c>
      <c r="K142" s="12" t="s">
        <v>921</v>
      </c>
      <c r="L142" s="10"/>
      <c r="M142" s="2" t="str">
        <f aca="false" t="array" ref="M142:M142">IF($G142="","",IFERROR(INDEX(Ангилал!$A$5:$A$22,MATCH(TRUE(),INDEX(ISNUMBER(SEARCH(Ангилал!$B$5:$B$22,$G142&amp;" "&amp;$D142))+ISNUMBER(SEARCH(Ангилал!$C$5:$C$22,$G142&amp;" "&amp;$D142))+IF(Ангилал!$D$5:$D$22="",0,ISNUMBER(SEARCH(Ангилал!$D$5:$D$22,$G142&amp;" "&amp;$D142)))+IF(Ангилал!$E$5:$E$22="",0,ISNUMBER(SEARCH(Ангилал!$E$5:$E$22,$G142&amp;" "&amp;$D142)))&gt;0,0),0)),"Бусад"))</f>
        <v>Эрүүл, аюулгүй орчинд амьдрах эрх</v>
      </c>
      <c r="N142" s="2"/>
      <c r="O142" s="2" t="str">
        <f aca="false">IF($G142="","",IF($N142&lt;&gt;"",$N142,$M142))</f>
        <v>Эрүүл, аюулгүй орчинд амьдрах эрх</v>
      </c>
      <c r="P142" s="2" t="str">
        <f aca="false" t="array" ref="P142:P142">IF($G142="","",IFERROR(INDEX(Ангилал!$G$5:$G$16,MATCH(TRUE(),INDEX(ISNUMBER(SEARCH(Ангилал!$H$5:$H$16,$G142&amp;" "&amp;$D142&amp;" "&amp;$E142))+ISNUMBER(SEARCH(Ангилал!$I$5:$I$16,$G142&amp;" "&amp;$D142&amp;" "&amp;$E142))+ISNUMBER(SEARCH(Ангилал!$J$5:$J$16,$G142&amp;" "&amp;$D142&amp;" "&amp;$E142))+ISNUMBER(SEARCH(Ангилал!$K$5:$K$16,$G142&amp;" "&amp;$D142&amp;" "&amp;$E142))&gt;0,0),0)),"Ерөнхий нийт"))</f>
        <v>Ажилчид, хөдөлмөр эрхлэгчид</v>
      </c>
      <c r="Q142" s="2" t="s">
        <v>886</v>
      </c>
      <c r="R142" s="2" t="str">
        <f aca="false">IF($G142="","",IF($Q142&lt;&gt;"",$Q142,$P142))</f>
        <v>Ерөнхий нийт</v>
      </c>
    </row>
    <row r="143" customFormat="false" ht="101.25" hidden="false" customHeight="true" outlineLevel="0" collapsed="false">
      <c r="A143" s="9" t="n">
        <v>114</v>
      </c>
      <c r="B143" s="10" t="s">
        <v>922</v>
      </c>
      <c r="C143" s="10" t="s">
        <v>923</v>
      </c>
      <c r="D143" s="11" t="s">
        <v>924</v>
      </c>
      <c r="E143" s="11" t="s">
        <v>925</v>
      </c>
      <c r="F143" s="10" t="s">
        <v>926</v>
      </c>
      <c r="G143" s="10" t="s">
        <v>927</v>
      </c>
      <c r="H143" s="10" t="s">
        <v>928</v>
      </c>
      <c r="I143" s="10" t="s">
        <v>929</v>
      </c>
      <c r="J143" s="10" t="s">
        <v>836</v>
      </c>
      <c r="K143" s="12" t="s">
        <v>930</v>
      </c>
      <c r="L143" s="10"/>
      <c r="M143" s="2" t="str">
        <f aca="false" t="array" ref="M143:M143">IF($G143="","",IFERROR(INDEX(Ангилал!$A$5:$A$22,MATCH(TRUE(),INDEX(ISNUMBER(SEARCH(Ангилал!$B$5:$B$22,$G143&amp;" "&amp;$D143))+ISNUMBER(SEARCH(Ангилал!$C$5:$C$22,$G143&amp;" "&amp;$D143))+IF(Ангилал!$D$5:$D$22="",0,ISNUMBER(SEARCH(Ангилал!$D$5:$D$22,$G143&amp;" "&amp;$D143)))+IF(Ангилал!$E$5:$E$22="",0,ISNUMBER(SEARCH(Ангилал!$E$5:$E$22,$G143&amp;" "&amp;$D143)))&gt;0,0),0)),"Бусад"))</f>
        <v>Амьд явах, халдашгүй байх эрх</v>
      </c>
      <c r="N143" s="2" t="s">
        <v>931</v>
      </c>
      <c r="O143" s="2" t="str">
        <f aca="false">IF($G143="","",IF($N143&lt;&gt;"",$N143,$M143))</f>
        <v>Амьд явах, халдашгүй байх эрх</v>
      </c>
      <c r="P143" s="2" t="str">
        <f aca="false" t="array" ref="P143:P143">IF($G143="","",IFERROR(INDEX(Ангилал!$G$5:$G$16,MATCH(TRUE(),INDEX(ISNUMBER(SEARCH(Ангилал!$H$5:$H$16,$G143&amp;" "&amp;$D143&amp;" "&amp;$E143))+ISNUMBER(SEARCH(Ангилал!$I$5:$I$16,$G143&amp;" "&amp;$D143&amp;" "&amp;$E143))+ISNUMBER(SEARCH(Ангилал!$J$5:$J$16,$G143&amp;" "&amp;$D143&amp;" "&amp;$E143))+ISNUMBER(SEARCH(Ангилал!$K$5:$K$16,$G143&amp;" "&amp;$D143&amp;" "&amp;$E143))&gt;0,0),0)),"Ерөнхий нийт"))</f>
        <v>Хоригдол, саатуулагдсан хүн</v>
      </c>
      <c r="Q143" s="2" t="s">
        <v>886</v>
      </c>
      <c r="R143" s="2" t="str">
        <f aca="false">IF($G143="","",IF($Q143&lt;&gt;"",$Q143,$P143))</f>
        <v>Ерөнхий нийт</v>
      </c>
    </row>
    <row r="144" customFormat="false" ht="87" hidden="false" customHeight="true" outlineLevel="0" collapsed="false">
      <c r="A144" s="9" t="n">
        <v>115</v>
      </c>
      <c r="B144" s="10" t="s">
        <v>922</v>
      </c>
      <c r="C144" s="10" t="s">
        <v>932</v>
      </c>
      <c r="D144" s="11" t="s">
        <v>933</v>
      </c>
      <c r="E144" s="11" t="s">
        <v>934</v>
      </c>
      <c r="F144" s="10" t="s">
        <v>935</v>
      </c>
      <c r="G144" s="10" t="s">
        <v>936</v>
      </c>
      <c r="H144" s="10" t="s">
        <v>937</v>
      </c>
      <c r="I144" s="10" t="s">
        <v>938</v>
      </c>
      <c r="J144" s="10" t="s">
        <v>723</v>
      </c>
      <c r="K144" s="12" t="s">
        <v>939</v>
      </c>
      <c r="L144" s="10"/>
      <c r="M144" s="2" t="str">
        <f aca="false" t="array" ref="M144:M144">IF($G144="","",IFERROR(INDEX(Ангилал!$A$5:$A$22,MATCH(TRUE(),INDEX(ISNUMBER(SEARCH(Ангилал!$B$5:$B$22,$G144&amp;" "&amp;$D144))+ISNUMBER(SEARCH(Ангилал!$C$5:$C$22,$G144&amp;" "&amp;$D144))+IF(Ангилал!$D$5:$D$22="",0,ISNUMBER(SEARCH(Ангилал!$D$5:$D$22,$G144&amp;" "&amp;$D144)))+IF(Ангилал!$E$5:$E$22="",0,ISNUMBER(SEARCH(Ангилал!$E$5:$E$22,$G144&amp;" "&amp;$D144)))&gt;0,0),0)),"Бусад"))</f>
        <v>Эрүүл мэндийн эрх</v>
      </c>
      <c r="N144" s="2"/>
      <c r="O144" s="2" t="str">
        <f aca="false">IF($G144="","",IF($N144&lt;&gt;"",$N144,$M144))</f>
        <v>Эрүүл мэндийн эрх</v>
      </c>
      <c r="P144" s="2" t="str">
        <f aca="false" t="array" ref="P144:P144">IF($G144="","",IFERROR(INDEX(Ангилал!$G$5:$G$16,MATCH(TRUE(),INDEX(ISNUMBER(SEARCH(Ангилал!$H$5:$H$16,$G144&amp;" "&amp;$D144&amp;" "&amp;$E144))+ISNUMBER(SEARCH(Ангилал!$I$5:$I$16,$G144&amp;" "&amp;$D144&amp;" "&amp;$E144))+ISNUMBER(SEARCH(Ангилал!$J$5:$J$16,$G144&amp;" "&amp;$D144&amp;" "&amp;$E144))+ISNUMBER(SEARCH(Ангилал!$K$5:$K$16,$G144&amp;" "&amp;$D144&amp;" "&amp;$E144))&gt;0,0),0)),"Ерөнхий нийт"))</f>
        <v>Ерөнхий нийт</v>
      </c>
      <c r="Q144" s="2" t="s">
        <v>940</v>
      </c>
      <c r="R144" s="2" t="str">
        <f aca="false">IF($G144="","",IF($Q144&lt;&gt;"",$Q144,$P144))</f>
        <v>Өвчтөн, эмчлүүлэгч</v>
      </c>
    </row>
    <row r="145" customFormat="false" ht="101.25" hidden="false" customHeight="true" outlineLevel="0" collapsed="false">
      <c r="A145" s="9" t="n">
        <v>116</v>
      </c>
      <c r="B145" s="10" t="s">
        <v>941</v>
      </c>
      <c r="C145" s="10" t="s">
        <v>942</v>
      </c>
      <c r="D145" s="11" t="s">
        <v>943</v>
      </c>
      <c r="E145" s="11" t="s">
        <v>944</v>
      </c>
      <c r="F145" s="10" t="s">
        <v>865</v>
      </c>
      <c r="G145" s="10" t="s">
        <v>945</v>
      </c>
      <c r="H145" s="10" t="s">
        <v>946</v>
      </c>
      <c r="I145" s="10" t="s">
        <v>947</v>
      </c>
      <c r="J145" s="10" t="s">
        <v>723</v>
      </c>
      <c r="K145" s="12" t="s">
        <v>948</v>
      </c>
      <c r="L145" s="10"/>
      <c r="M145" s="2" t="str">
        <f aca="false" t="array" ref="M145:M145">IF($G145="","",IFERROR(INDEX(Ангилал!$A$5:$A$22,MATCH(TRUE(),INDEX(ISNUMBER(SEARCH(Ангилал!$B$5:$B$22,$G145&amp;" "&amp;$D145))+ISNUMBER(SEARCH(Ангилал!$C$5:$C$22,$G145&amp;" "&amp;$D145))+IF(Ангилал!$D$5:$D$22="",0,ISNUMBER(SEARCH(Ангилал!$D$5:$D$22,$G145&amp;" "&amp;$D145)))+IF(Ангилал!$E$5:$E$22="",0,ISNUMBER(SEARCH(Ангилал!$E$5:$E$22,$G145&amp;" "&amp;$D145)))&gt;0,0),0)),"Бусад"))</f>
        <v>Эрүүл мэндийн эрх</v>
      </c>
      <c r="N145" s="2"/>
      <c r="O145" s="2" t="str">
        <f aca="false">IF($G145="","",IF($N145&lt;&gt;"",$N145,$M145))</f>
        <v>Эрүүл мэндийн эрх</v>
      </c>
      <c r="P145" s="2" t="str">
        <f aca="false" t="array" ref="P145:P145">IF($G145="","",IFERROR(INDEX(Ангилал!$G$5:$G$16,MATCH(TRUE(),INDEX(ISNUMBER(SEARCH(Ангилал!$H$5:$H$16,$G145&amp;" "&amp;$D145&amp;" "&amp;$E145))+ISNUMBER(SEARCH(Ангилал!$I$5:$I$16,$G145&amp;" "&amp;$D145&amp;" "&amp;$E145))+ISNUMBER(SEARCH(Ангилал!$J$5:$J$16,$G145&amp;" "&amp;$D145&amp;" "&amp;$E145))+ISNUMBER(SEARCH(Ангилал!$K$5:$K$16,$G145&amp;" "&amp;$D145&amp;" "&amp;$E145))&gt;0,0),0)),"Ерөнхий нийт"))</f>
        <v>Ерөнхий нийт</v>
      </c>
      <c r="Q145" s="2" t="s">
        <v>940</v>
      </c>
      <c r="R145" s="2" t="str">
        <f aca="false">IF($G145="","",IF($Q145&lt;&gt;"",$Q145,$P145))</f>
        <v>Өвчтөн, эмчлүүлэгч</v>
      </c>
    </row>
    <row r="146" customFormat="false" ht="115.5" hidden="false" customHeight="true" outlineLevel="0" collapsed="false">
      <c r="A146" s="9" t="n">
        <v>117</v>
      </c>
      <c r="B146" s="10" t="s">
        <v>941</v>
      </c>
      <c r="C146" s="10" t="s">
        <v>941</v>
      </c>
      <c r="D146" s="11" t="s">
        <v>949</v>
      </c>
      <c r="E146" s="11" t="s">
        <v>950</v>
      </c>
      <c r="F146" s="10" t="s">
        <v>951</v>
      </c>
      <c r="G146" s="10" t="s">
        <v>952</v>
      </c>
      <c r="H146" s="10" t="s">
        <v>953</v>
      </c>
      <c r="I146" s="10" t="s">
        <v>954</v>
      </c>
      <c r="J146" s="10" t="s">
        <v>955</v>
      </c>
      <c r="K146" s="12" t="s">
        <v>956</v>
      </c>
      <c r="L146" s="10"/>
      <c r="M146" s="2" t="str">
        <f aca="false" t="array" ref="M146:M146">IF($G146="","",IFERROR(INDEX(Ангилал!$A$5:$A$22,MATCH(TRUE(),INDEX(ISNUMBER(SEARCH(Ангилал!$B$5:$B$22,$G146&amp;" "&amp;$D146))+ISNUMBER(SEARCH(Ангилал!$C$5:$C$22,$G146&amp;" "&amp;$D146))+IF(Ангилал!$D$5:$D$22="",0,ISNUMBER(SEARCH(Ангилал!$D$5:$D$22,$G146&amp;" "&amp;$D146)))+IF(Ангилал!$E$5:$E$22="",0,ISNUMBER(SEARCH(Ангилал!$E$5:$E$22,$G146&amp;" "&amp;$D146)))&gt;0,0),0)),"Бусад"))</f>
        <v>Хүүхдийн эрх</v>
      </c>
      <c r="N146" s="2" t="s">
        <v>957</v>
      </c>
      <c r="O146" s="2" t="str">
        <f aca="false">IF($G146="","",IF($N146&lt;&gt;"",$N146,$M146))</f>
        <v>Хүүхдийн эрх</v>
      </c>
      <c r="P146" s="2" t="str">
        <f aca="false" t="array" ref="P146:P146">IF($G146="","",IFERROR(INDEX(Ангилал!$G$5:$G$16,MATCH(TRUE(),INDEX(ISNUMBER(SEARCH(Ангилал!$H$5:$H$16,$G146&amp;" "&amp;$D146&amp;" "&amp;$E146))+ISNUMBER(SEARCH(Ангилал!$I$5:$I$16,$G146&amp;" "&amp;$D146&amp;" "&amp;$E146))+ISNUMBER(SEARCH(Ангилал!$J$5:$J$16,$G146&amp;" "&amp;$D146&amp;" "&amp;$E146))+ISNUMBER(SEARCH(Ангилал!$K$5:$K$16,$G146&amp;" "&amp;$D146&amp;" "&amp;$E146))&gt;0,0),0)),"Ерөнхий нийт"))</f>
        <v>Хүүхэд</v>
      </c>
      <c r="Q146" s="2" t="s">
        <v>958</v>
      </c>
      <c r="R146" s="2" t="str">
        <f aca="false">IF($G146="","",IF($Q146&lt;&gt;"",$Q146,$P146))</f>
        <v>Хүүхэд</v>
      </c>
    </row>
    <row r="147" customFormat="false" ht="72" hidden="false" customHeight="true" outlineLevel="0" collapsed="false">
      <c r="A147" s="9" t="n">
        <v>118</v>
      </c>
      <c r="B147" s="10" t="s">
        <v>959</v>
      </c>
      <c r="C147" s="10" t="s">
        <v>821</v>
      </c>
      <c r="D147" s="11" t="s">
        <v>960</v>
      </c>
      <c r="E147" s="11" t="s">
        <v>961</v>
      </c>
      <c r="F147" s="10" t="s">
        <v>962</v>
      </c>
      <c r="G147" s="10" t="s">
        <v>963</v>
      </c>
      <c r="H147" s="10" t="s">
        <v>964</v>
      </c>
      <c r="I147" s="10" t="s">
        <v>965</v>
      </c>
      <c r="J147" s="10" t="s">
        <v>851</v>
      </c>
      <c r="K147" s="12" t="s">
        <v>966</v>
      </c>
      <c r="L147" s="10"/>
      <c r="M147" s="2" t="str">
        <f aca="false" t="array" ref="M147:M147">IF($G147="","",IFERROR(INDEX(Ангилал!$A$5:$A$22,MATCH(TRUE(),INDEX(ISNUMBER(SEARCH(Ангилал!$B$5:$B$22,$G147&amp;" "&amp;$D147))+ISNUMBER(SEARCH(Ангилал!$C$5:$C$22,$G147&amp;" "&amp;$D147))+IF(Ангилал!$D$5:$D$22="",0,ISNUMBER(SEARCH(Ангилал!$D$5:$D$22,$G147&amp;" "&amp;$D147)))+IF(Ангилал!$E$5:$E$22="",0,ISNUMBER(SEARCH(Ангилал!$E$5:$E$22,$G147&amp;" "&amp;$D147)))&gt;0,0),0)),"Бусад"))</f>
        <v>Хүүхдийн эрх</v>
      </c>
      <c r="N147" s="2"/>
      <c r="O147" s="2" t="str">
        <f aca="false">IF($G147="","",IF($N147&lt;&gt;"",$N147,$M147))</f>
        <v>Хүүхдийн эрх</v>
      </c>
      <c r="P147" s="2" t="str">
        <f aca="false" t="array" ref="P147:P147">IF($G147="","",IFERROR(INDEX(Ангилал!$G$5:$G$16,MATCH(TRUE(),INDEX(ISNUMBER(SEARCH(Ангилал!$H$5:$H$16,$G147&amp;" "&amp;$D147&amp;" "&amp;$E147))+ISNUMBER(SEARCH(Ангилал!$I$5:$I$16,$G147&amp;" "&amp;$D147&amp;" "&amp;$E147))+ISNUMBER(SEARCH(Ангилал!$J$5:$J$16,$G147&amp;" "&amp;$D147&amp;" "&amp;$E147))+ISNUMBER(SEARCH(Ангилал!$K$5:$K$16,$G147&amp;" "&amp;$D147&amp;" "&amp;$E147))&gt;0,0),0)),"Ерөнхий нийт"))</f>
        <v>Хүүхэд</v>
      </c>
      <c r="Q147" s="2"/>
      <c r="R147" s="2" t="str">
        <f aca="false">IF($G147="","",IF($Q147&lt;&gt;"",$Q147,$P147))</f>
        <v>Хүүхэд</v>
      </c>
    </row>
    <row r="148" customFormat="false" ht="72" hidden="false" customHeight="true" outlineLevel="0" collapsed="false">
      <c r="A148" s="9" t="n">
        <v>119</v>
      </c>
      <c r="B148" s="10" t="s">
        <v>959</v>
      </c>
      <c r="C148" s="10" t="s">
        <v>967</v>
      </c>
      <c r="D148" s="11" t="s">
        <v>968</v>
      </c>
      <c r="E148" s="11" t="s">
        <v>969</v>
      </c>
      <c r="F148" s="10" t="s">
        <v>43</v>
      </c>
      <c r="G148" s="10" t="s">
        <v>970</v>
      </c>
      <c r="H148" s="10" t="s">
        <v>971</v>
      </c>
      <c r="I148" s="10" t="s">
        <v>972</v>
      </c>
      <c r="J148" s="10" t="s">
        <v>723</v>
      </c>
      <c r="K148" s="12" t="s">
        <v>973</v>
      </c>
      <c r="L148" s="10"/>
      <c r="M148" s="2" t="str">
        <f aca="false" t="array" ref="M148:M148">IF($G148="","",IFERROR(INDEX(Ангилал!$A$5:$A$22,MATCH(TRUE(),INDEX(ISNUMBER(SEARCH(Ангилал!$B$5:$B$22,$G148&amp;" "&amp;$D148))+ISNUMBER(SEARCH(Ангилал!$C$5:$C$22,$G148&amp;" "&amp;$D148))+IF(Ангилал!$D$5:$D$22="",0,ISNUMBER(SEARCH(Ангилал!$D$5:$D$22,$G148&amp;" "&amp;$D148)))+IF(Ангилал!$E$5:$E$22="",0,ISNUMBER(SEARCH(Ангилал!$E$5:$E$22,$G148&amp;" "&amp;$D148)))&gt;0,0),0)),"Бусад"))</f>
        <v>Эрүүл мэндийн эрх</v>
      </c>
      <c r="N148" s="2" t="s">
        <v>974</v>
      </c>
      <c r="O148" s="2" t="str">
        <f aca="false">IF($G148="","",IF($N148&lt;&gt;"",$N148,$M148))</f>
        <v>Эрүүл мэндийн эрх</v>
      </c>
      <c r="P148" s="2" t="str">
        <f aca="false" t="array" ref="P148:P148">IF($G148="","",IFERROR(INDEX(Ангилал!$G$5:$G$16,MATCH(TRUE(),INDEX(ISNUMBER(SEARCH(Ангилал!$H$5:$H$16,$G148&amp;" "&amp;$D148&amp;" "&amp;$E148))+ISNUMBER(SEARCH(Ангилал!$I$5:$I$16,$G148&amp;" "&amp;$D148&amp;" "&amp;$E148))+ISNUMBER(SEARCH(Ангилал!$J$5:$J$16,$G148&amp;" "&amp;$D148&amp;" "&amp;$E148))+ISNUMBER(SEARCH(Ангилал!$K$5:$K$16,$G148&amp;" "&amp;$D148&amp;" "&amp;$E148))&gt;0,0),0)),"Ерөнхий нийт"))</f>
        <v>Ерөнхий нийт</v>
      </c>
      <c r="Q148" s="2" t="s">
        <v>804</v>
      </c>
      <c r="R148" s="2" t="str">
        <f aca="false">IF($G148="","",IF($Q148&lt;&gt;"",$Q148,$P148))</f>
        <v>Эмэгтэйчүүд</v>
      </c>
    </row>
    <row r="149" customFormat="false" ht="101.25" hidden="false" customHeight="true" outlineLevel="0" collapsed="false">
      <c r="A149" s="9" t="n">
        <v>120</v>
      </c>
      <c r="B149" s="10" t="s">
        <v>975</v>
      </c>
      <c r="C149" s="10" t="s">
        <v>976</v>
      </c>
      <c r="D149" s="11" t="s">
        <v>977</v>
      </c>
      <c r="E149" s="11" t="s">
        <v>978</v>
      </c>
      <c r="F149" s="10" t="s">
        <v>979</v>
      </c>
      <c r="G149" s="10" t="s">
        <v>784</v>
      </c>
      <c r="H149" s="10" t="s">
        <v>980</v>
      </c>
      <c r="I149" s="10" t="s">
        <v>981</v>
      </c>
      <c r="J149" s="10" t="s">
        <v>982</v>
      </c>
      <c r="K149" s="12" t="s">
        <v>983</v>
      </c>
      <c r="L149" s="10"/>
      <c r="M149" s="2" t="str">
        <f aca="false" t="array" ref="M149:M149">IF($G149="","",IFERROR(INDEX(Ангилал!$A$5:$A$22,MATCH(TRUE(),INDEX(ISNUMBER(SEARCH(Ангилал!$B$5:$B$22,$G149&amp;" "&amp;$D149))+ISNUMBER(SEARCH(Ангилал!$C$5:$C$22,$G149&amp;" "&amp;$D149))+IF(Ангилал!$D$5:$D$22="",0,ISNUMBER(SEARCH(Ангилал!$D$5:$D$22,$G149&amp;" "&amp;$D149)))+IF(Ангилал!$E$5:$E$22="",0,ISNUMBER(SEARCH(Ангилал!$E$5:$E$22,$G149&amp;" "&amp;$D149)))&gt;0,0),0)),"Бусад"))</f>
        <v>Амьд явах, халдашгүй байх эрх</v>
      </c>
      <c r="N149" s="2" t="s">
        <v>931</v>
      </c>
      <c r="O149" s="2" t="str">
        <f aca="false">IF($G149="","",IF($N149&lt;&gt;"",$N149,$M149))</f>
        <v>Амьд явах, халдашгүй байх эрх</v>
      </c>
      <c r="P149" s="2" t="str">
        <f aca="false" t="array" ref="P149:P149">IF($G149="","",IFERROR(INDEX(Ангилал!$G$5:$G$16,MATCH(TRUE(),INDEX(ISNUMBER(SEARCH(Ангилал!$H$5:$H$16,$G149&amp;" "&amp;$D149&amp;" "&amp;$E149))+ISNUMBER(SEARCH(Ангилал!$I$5:$I$16,$G149&amp;" "&amp;$D149&amp;" "&amp;$E149))+ISNUMBER(SEARCH(Ангилал!$J$5:$J$16,$G149&amp;" "&amp;$D149&amp;" "&amp;$E149))+ISNUMBER(SEARCH(Ангилал!$K$5:$K$16,$G149&amp;" "&amp;$D149&amp;" "&amp;$E149))&gt;0,0),0)),"Ерөнхий нийт"))</f>
        <v>Эмэгтэйчүүд</v>
      </c>
      <c r="Q149" s="2" t="s">
        <v>886</v>
      </c>
      <c r="R149" s="2" t="str">
        <f aca="false">IF($G149="","",IF($Q149&lt;&gt;"",$Q149,$P149))</f>
        <v>Ерөнхий нийт</v>
      </c>
    </row>
    <row r="150" customFormat="false" ht="101.25" hidden="false" customHeight="true" outlineLevel="0" collapsed="false">
      <c r="A150" s="9" t="n">
        <v>121</v>
      </c>
      <c r="B150" s="10" t="s">
        <v>975</v>
      </c>
      <c r="C150" s="10" t="s">
        <v>984</v>
      </c>
      <c r="D150" s="11" t="s">
        <v>985</v>
      </c>
      <c r="E150" s="11" t="s">
        <v>986</v>
      </c>
      <c r="F150" s="10" t="s">
        <v>3</v>
      </c>
      <c r="G150" s="10" t="s">
        <v>987</v>
      </c>
      <c r="H150" s="10" t="s">
        <v>988</v>
      </c>
      <c r="I150" s="10" t="s">
        <v>989</v>
      </c>
      <c r="J150" s="10" t="s">
        <v>851</v>
      </c>
      <c r="K150" s="12" t="s">
        <v>990</v>
      </c>
      <c r="L150" s="10"/>
      <c r="M150" s="2" t="str">
        <f aca="false" t="array" ref="M150:M150">IF($G150="","",IFERROR(INDEX(Ангилал!$A$5:$A$22,MATCH(TRUE(),INDEX(ISNUMBER(SEARCH(Ангилал!$B$5:$B$22,$G150&amp;" "&amp;$D150))+ISNUMBER(SEARCH(Ангилал!$C$5:$C$22,$G150&amp;" "&amp;$D150))+IF(Ангилал!$D$5:$D$22="",0,ISNUMBER(SEARCH(Ангилал!$D$5:$D$22,$G150&amp;" "&amp;$D150)))+IF(Ангилал!$E$5:$E$22="",0,ISNUMBER(SEARCH(Ангилал!$E$5:$E$22,$G150&amp;" "&amp;$D150)))&gt;0,0),0)),"Бусад"))</f>
        <v>Шударга шүүхээр шүүлгэх эрх</v>
      </c>
      <c r="N150" s="2" t="s">
        <v>991</v>
      </c>
      <c r="O150" s="2" t="str">
        <f aca="false">IF($G150="","",IF($N150&lt;&gt;"",$N150,$M150))</f>
        <v>Шударга шүүхээр шүүлгэх эрх</v>
      </c>
      <c r="P150" s="2" t="str">
        <f aca="false" t="array" ref="P150:P150">IF($G150="","",IFERROR(INDEX(Ангилал!$G$5:$G$16,MATCH(TRUE(),INDEX(ISNUMBER(SEARCH(Ангилал!$H$5:$H$16,$G150&amp;" "&amp;$D150&amp;" "&amp;$E150))+ISNUMBER(SEARCH(Ангилал!$I$5:$I$16,$G150&amp;" "&amp;$D150&amp;" "&amp;$E150))+ISNUMBER(SEARCH(Ангилал!$J$5:$J$16,$G150&amp;" "&amp;$D150&amp;" "&amp;$E150))+ISNUMBER(SEARCH(Ангилал!$K$5:$K$16,$G150&amp;" "&amp;$D150&amp;" "&amp;$E150))&gt;0,0),0)),"Ерөнхий нийт"))</f>
        <v>Ерөнхий нийт</v>
      </c>
      <c r="Q150" s="2"/>
      <c r="R150" s="2" t="str">
        <f aca="false">IF($G150="","",IF($Q150&lt;&gt;"",$Q150,$P150))</f>
        <v>Ерөнхий нийт</v>
      </c>
    </row>
    <row r="151" customFormat="false" ht="115.5" hidden="false" customHeight="true" outlineLevel="0" collapsed="false">
      <c r="A151" s="9" t="n">
        <v>122</v>
      </c>
      <c r="B151" s="10" t="s">
        <v>975</v>
      </c>
      <c r="C151" s="10" t="s">
        <v>992</v>
      </c>
      <c r="D151" s="11" t="s">
        <v>993</v>
      </c>
      <c r="E151" s="11" t="s">
        <v>994</v>
      </c>
      <c r="F151" s="10" t="s">
        <v>3</v>
      </c>
      <c r="G151" s="10" t="s">
        <v>995</v>
      </c>
      <c r="H151" s="10" t="s">
        <v>996</v>
      </c>
      <c r="I151" s="10" t="s">
        <v>997</v>
      </c>
      <c r="J151" s="10" t="s">
        <v>836</v>
      </c>
      <c r="K151" s="12" t="s">
        <v>998</v>
      </c>
      <c r="L151" s="10"/>
      <c r="M151" s="2" t="str">
        <f aca="false" t="array" ref="M151:M151">IF($G151="","",IFERROR(INDEX(Ангилал!$A$5:$A$22,MATCH(TRUE(),INDEX(ISNUMBER(SEARCH(Ангилал!$B$5:$B$22,$G151&amp;" "&amp;$D151))+ISNUMBER(SEARCH(Ангилал!$C$5:$C$22,$G151&amp;" "&amp;$D151))+IF(Ангилал!$D$5:$D$22="",0,ISNUMBER(SEARCH(Ангилал!$D$5:$D$22,$G151&amp;" "&amp;$D151)))+IF(Ангилал!$E$5:$E$22="",0,ISNUMBER(SEARCH(Ангилал!$E$5:$E$22,$G151&amp;" "&amp;$D151)))&gt;0,0),0)),"Бусад"))</f>
        <v>Амьд явах, халдашгүй байх эрх</v>
      </c>
      <c r="N151" s="2" t="s">
        <v>815</v>
      </c>
      <c r="O151" s="2" t="str">
        <f aca="false">IF($G151="","",IF($N151&lt;&gt;"",$N151,$M151))</f>
        <v>Үзэл бодлоо илэрхийлэх, мэдээллийн эрх</v>
      </c>
      <c r="P151" s="2" t="str">
        <f aca="false" t="array" ref="P151:P151">IF($G151="","",IFERROR(INDEX(Ангилал!$G$5:$G$16,MATCH(TRUE(),INDEX(ISNUMBER(SEARCH(Ангилал!$H$5:$H$16,$G151&amp;" "&amp;$D151&amp;" "&amp;$E151))+ISNUMBER(SEARCH(Ангилал!$I$5:$I$16,$G151&amp;" "&amp;$D151&amp;" "&amp;$E151))+ISNUMBER(SEARCH(Ангилал!$J$5:$J$16,$G151&amp;" "&amp;$D151&amp;" "&amp;$E151))+ISNUMBER(SEARCH(Ангилал!$K$5:$K$16,$G151&amp;" "&amp;$D151&amp;" "&amp;$E151))&gt;0,0),0)),"Ерөнхий нийт"))</f>
        <v>Хоригдол, саатуулагдсан хүн</v>
      </c>
      <c r="Q151" s="2" t="s">
        <v>999</v>
      </c>
      <c r="R151" s="2" t="str">
        <f aca="false">IF($G151="","",IF($Q151&lt;&gt;"",$Q151,$P151))</f>
        <v>Хоригдол, саатуулагдсан хүн</v>
      </c>
    </row>
    <row r="152" customFormat="false" ht="101.25" hidden="false" customHeight="true" outlineLevel="0" collapsed="false">
      <c r="A152" s="9" t="n">
        <v>123</v>
      </c>
      <c r="B152" s="10" t="s">
        <v>975</v>
      </c>
      <c r="C152" s="10" t="s">
        <v>975</v>
      </c>
      <c r="D152" s="11" t="s">
        <v>1000</v>
      </c>
      <c r="E152" s="11" t="s">
        <v>1001</v>
      </c>
      <c r="F152" s="10" t="s">
        <v>1002</v>
      </c>
      <c r="G152" s="10" t="s">
        <v>1003</v>
      </c>
      <c r="H152" s="10" t="s">
        <v>1004</v>
      </c>
      <c r="I152" s="10" t="s">
        <v>1005</v>
      </c>
      <c r="J152" s="10" t="s">
        <v>567</v>
      </c>
      <c r="K152" s="12" t="s">
        <v>1006</v>
      </c>
      <c r="L152" s="10"/>
      <c r="M152" s="2" t="str">
        <f aca="false" t="array" ref="M152:M152">IF($G152="","",IFERROR(INDEX(Ангилал!$A$5:$A$22,MATCH(TRUE(),INDEX(ISNUMBER(SEARCH(Ангилал!$B$5:$B$22,$G152&amp;" "&amp;$D152))+ISNUMBER(SEARCH(Ангилал!$C$5:$C$22,$G152&amp;" "&amp;$D152))+IF(Ангилал!$D$5:$D$22="",0,ISNUMBER(SEARCH(Ангилал!$D$5:$D$22,$G152&amp;" "&amp;$D152)))+IF(Ангилал!$E$5:$E$22="",0,ISNUMBER(SEARCH(Ангилал!$E$5:$E$22,$G152&amp;" "&amp;$D152)))&gt;0,0),0)),"Бусад"))</f>
        <v>Нийгмийн хамгаалал, халамжийн эрх</v>
      </c>
      <c r="N152" s="2" t="s">
        <v>870</v>
      </c>
      <c r="O152" s="2" t="str">
        <f aca="false">IF($G152="","",IF($N152&lt;&gt;"",$N152,$M152))</f>
        <v>Нийгмийн хамгаалал, халамжийн эрх</v>
      </c>
      <c r="P152" s="2" t="str">
        <f aca="false" t="array" ref="P152:P152">IF($G152="","",IFERROR(INDEX(Ангилал!$G$5:$G$16,MATCH(TRUE(),INDEX(ISNUMBER(SEARCH(Ангилал!$H$5:$H$16,$G152&amp;" "&amp;$D152&amp;" "&amp;$E152))+ISNUMBER(SEARCH(Ангилал!$I$5:$I$16,$G152&amp;" "&amp;$D152&amp;" "&amp;$E152))+ISNUMBER(SEARCH(Ангилал!$J$5:$J$16,$G152&amp;" "&amp;$D152&amp;" "&amp;$E152))+ISNUMBER(SEARCH(Ангилал!$K$5:$K$16,$G152&amp;" "&amp;$D152&amp;" "&amp;$E152))&gt;0,0),0)),"Ерөнхий нийт"))</f>
        <v>Хөгжлийн бэрхшээлтэй иргэд</v>
      </c>
      <c r="Q152" s="2" t="s">
        <v>1007</v>
      </c>
      <c r="R152" s="2" t="str">
        <f aca="false">IF($G152="","",IF($Q152&lt;&gt;"",$Q152,$P152))</f>
        <v>Хөгжлийн бэрхшээлтэй иргэд</v>
      </c>
    </row>
    <row r="153" customFormat="false" ht="87" hidden="false" customHeight="true" outlineLevel="0" collapsed="false">
      <c r="A153" s="9" t="n">
        <v>124</v>
      </c>
      <c r="B153" s="10" t="s">
        <v>975</v>
      </c>
      <c r="C153" s="10" t="s">
        <v>1008</v>
      </c>
      <c r="D153" s="11" t="s">
        <v>1009</v>
      </c>
      <c r="E153" s="11" t="s">
        <v>1010</v>
      </c>
      <c r="F153" s="10" t="s">
        <v>1011</v>
      </c>
      <c r="G153" s="10" t="s">
        <v>1012</v>
      </c>
      <c r="H153" s="10" t="s">
        <v>1013</v>
      </c>
      <c r="I153" s="10" t="s">
        <v>821</v>
      </c>
      <c r="J153" s="10" t="s">
        <v>764</v>
      </c>
      <c r="K153" s="12" t="s">
        <v>1014</v>
      </c>
      <c r="L153" s="10"/>
      <c r="M153" s="2" t="str">
        <f aca="false" t="array" ref="M153:M153">IF($G153="","",IFERROR(INDEX(Ангилал!$A$5:$A$22,MATCH(TRUE(),INDEX(ISNUMBER(SEARCH(Ангилал!$B$5:$B$22,$G153&amp;" "&amp;$D153))+ISNUMBER(SEARCH(Ангилал!$C$5:$C$22,$G153&amp;" "&amp;$D153))+IF(Ангилал!$D$5:$D$22="",0,ISNUMBER(SEARCH(Ангилал!$D$5:$D$22,$G153&amp;" "&amp;$D153)))+IF(Ангилал!$E$5:$E$22="",0,ISNUMBER(SEARCH(Ангилал!$E$5:$E$22,$G153&amp;" "&amp;$D153)))&gt;0,0),0)),"Бусад"))</f>
        <v>Хүчирхийлэл, бэлгийн дарамтаас ангид байх</v>
      </c>
      <c r="N153" s="2" t="s">
        <v>803</v>
      </c>
      <c r="O153" s="2" t="str">
        <f aca="false">IF($G153="","",IF($N153&lt;&gt;"",$N153,$M153))</f>
        <v>Хүчирхийлэл, бэлгийн дарамтаас ангид байх</v>
      </c>
      <c r="P153" s="2" t="str">
        <f aca="false" t="array" ref="P153:P153">IF($G153="","",IFERROR(INDEX(Ангилал!$G$5:$G$16,MATCH(TRUE(),INDEX(ISNUMBER(SEARCH(Ангилал!$H$5:$H$16,$G153&amp;" "&amp;$D153&amp;" "&amp;$E153))+ISNUMBER(SEARCH(Ангилал!$I$5:$I$16,$G153&amp;" "&amp;$D153&amp;" "&amp;$E153))+ISNUMBER(SEARCH(Ангилал!$J$5:$J$16,$G153&amp;" "&amp;$D153&amp;" "&amp;$E153))+ISNUMBER(SEARCH(Ангилал!$K$5:$K$16,$G153&amp;" "&amp;$D153&amp;" "&amp;$E153))&gt;0,0),0)),"Ерөнхий нийт"))</f>
        <v>Эмэгтэйчүүд</v>
      </c>
      <c r="Q153" s="2" t="s">
        <v>804</v>
      </c>
      <c r="R153" s="2" t="str">
        <f aca="false">IF($G153="","",IF($Q153&lt;&gt;"",$Q153,$P153))</f>
        <v>Эмэгтэйчүүд</v>
      </c>
    </row>
    <row r="154" customFormat="false" ht="101.25" hidden="false" customHeight="true" outlineLevel="0" collapsed="false">
      <c r="A154" s="9" t="n">
        <v>125</v>
      </c>
      <c r="B154" s="10" t="s">
        <v>1015</v>
      </c>
      <c r="C154" s="10" t="s">
        <v>1016</v>
      </c>
      <c r="D154" s="11" t="s">
        <v>1017</v>
      </c>
      <c r="E154" s="11" t="s">
        <v>1018</v>
      </c>
      <c r="F154" s="10" t="s">
        <v>3</v>
      </c>
      <c r="G154" s="10" t="s">
        <v>1019</v>
      </c>
      <c r="H154" s="10" t="s">
        <v>1020</v>
      </c>
      <c r="I154" s="10" t="s">
        <v>1021</v>
      </c>
      <c r="J154" s="10" t="s">
        <v>1022</v>
      </c>
      <c r="K154" s="12" t="s">
        <v>1023</v>
      </c>
      <c r="L154" s="10"/>
      <c r="M154" s="2" t="str">
        <f aca="false" t="array" ref="M154:M154">IF($G154="","",IFERROR(INDEX(Ангилал!$A$5:$A$22,MATCH(TRUE(),INDEX(ISNUMBER(SEARCH(Ангилал!$B$5:$B$22,$G154&amp;" "&amp;$D154))+ISNUMBER(SEARCH(Ангилал!$C$5:$C$22,$G154&amp;" "&amp;$D154))+IF(Ангилал!$D$5:$D$22="",0,ISNUMBER(SEARCH(Ангилал!$D$5:$D$22,$G154&amp;" "&amp;$D154)))+IF(Ангилал!$E$5:$E$22="",0,ISNUMBER(SEARCH(Ангилал!$E$5:$E$22,$G154&amp;" "&amp;$D154)))&gt;0,0),0)),"Бусад"))</f>
        <v>Амьд явах, халдашгүй байх эрх</v>
      </c>
      <c r="N154" s="2" t="s">
        <v>815</v>
      </c>
      <c r="O154" s="2" t="str">
        <f aca="false">IF($G154="","",IF($N154&lt;&gt;"",$N154,$M154))</f>
        <v>Үзэл бодлоо илэрхийлэх, мэдээллийн эрх</v>
      </c>
      <c r="P154" s="2" t="str">
        <f aca="false" t="array" ref="P154:P154">IF($G154="","",IFERROR(INDEX(Ангилал!$G$5:$G$16,MATCH(TRUE(),INDEX(ISNUMBER(SEARCH(Ангилал!$H$5:$H$16,$G154&amp;" "&amp;$D154&amp;" "&amp;$E154))+ISNUMBER(SEARCH(Ангилал!$I$5:$I$16,$G154&amp;" "&amp;$D154&amp;" "&amp;$E154))+ISNUMBER(SEARCH(Ангилал!$J$5:$J$16,$G154&amp;" "&amp;$D154&amp;" "&amp;$E154))+ISNUMBER(SEARCH(Ангилал!$K$5:$K$16,$G154&amp;" "&amp;$D154&amp;" "&amp;$E154))&gt;0,0),0)),"Ерөнхий нийт"))</f>
        <v>Хоригдол, саатуулагдсан хүн</v>
      </c>
      <c r="Q154" s="2" t="s">
        <v>1024</v>
      </c>
      <c r="R154" s="2" t="str">
        <f aca="false">IF($G154="","",IF($Q154&lt;&gt;"",$Q154,$P154))</f>
        <v>Сэтгүүлч, хүний эрхийн хамгаалагч</v>
      </c>
    </row>
    <row r="155" customFormat="false" ht="115.5" hidden="false" customHeight="true" outlineLevel="0" collapsed="false">
      <c r="A155" s="9" t="n">
        <v>126</v>
      </c>
      <c r="B155" s="10" t="s">
        <v>1015</v>
      </c>
      <c r="C155" s="10" t="s">
        <v>975</v>
      </c>
      <c r="D155" s="11" t="s">
        <v>1025</v>
      </c>
      <c r="E155" s="11" t="s">
        <v>1026</v>
      </c>
      <c r="F155" s="10" t="s">
        <v>43</v>
      </c>
      <c r="G155" s="10" t="s">
        <v>1027</v>
      </c>
      <c r="H155" s="10" t="s">
        <v>1028</v>
      </c>
      <c r="I155" s="10" t="s">
        <v>1029</v>
      </c>
      <c r="J155" s="10" t="s">
        <v>1030</v>
      </c>
      <c r="K155" s="12" t="s">
        <v>1031</v>
      </c>
      <c r="L155" s="10"/>
      <c r="M155" s="2" t="str">
        <f aca="false" t="array" ref="M155:M155">IF($G155="","",IFERROR(INDEX(Ангилал!$A$5:$A$22,MATCH(TRUE(),INDEX(ISNUMBER(SEARCH(Ангилал!$B$5:$B$22,$G155&amp;" "&amp;$D155))+ISNUMBER(SEARCH(Ангилал!$C$5:$C$22,$G155&amp;" "&amp;$D155))+IF(Ангилал!$D$5:$D$22="",0,ISNUMBER(SEARCH(Ангилал!$D$5:$D$22,$G155&amp;" "&amp;$D155)))+IF(Ангилал!$E$5:$E$22="",0,ISNUMBER(SEARCH(Ангилал!$E$5:$E$22,$G155&amp;" "&amp;$D155)))&gt;0,0),0)),"Бусад"))</f>
        <v>Хүчирхийлэл, бэлгийн дарамтаас ангид байх</v>
      </c>
      <c r="N155" s="2" t="s">
        <v>803</v>
      </c>
      <c r="O155" s="2" t="str">
        <f aca="false">IF($G155="","",IF($N155&lt;&gt;"",$N155,$M155))</f>
        <v>Хүчирхийлэл, бэлгийн дарамтаас ангид байх</v>
      </c>
      <c r="P155" s="2" t="str">
        <f aca="false" t="array" ref="P155:P155">IF($G155="","",IFERROR(INDEX(Ангилал!$G$5:$G$16,MATCH(TRUE(),INDEX(ISNUMBER(SEARCH(Ангилал!$H$5:$H$16,$G155&amp;" "&amp;$D155&amp;" "&amp;$E155))+ISNUMBER(SEARCH(Ангилал!$I$5:$I$16,$G155&amp;" "&amp;$D155&amp;" "&amp;$E155))+ISNUMBER(SEARCH(Ангилал!$J$5:$J$16,$G155&amp;" "&amp;$D155&amp;" "&amp;$E155))+ISNUMBER(SEARCH(Ангилал!$K$5:$K$16,$G155&amp;" "&amp;$D155&amp;" "&amp;$E155))&gt;0,0),0)),"Ерөнхий нийт"))</f>
        <v>Ахмад настан</v>
      </c>
      <c r="Q155" s="2" t="s">
        <v>1032</v>
      </c>
      <c r="R155" s="2" t="str">
        <f aca="false">IF($G155="","",IF($Q155&lt;&gt;"",$Q155,$P155))</f>
        <v>Ахмад настан</v>
      </c>
    </row>
    <row r="156" customFormat="false" ht="101.25" hidden="false" customHeight="true" outlineLevel="0" collapsed="false">
      <c r="A156" s="9" t="n">
        <v>127</v>
      </c>
      <c r="B156" s="10" t="s">
        <v>1015</v>
      </c>
      <c r="C156" s="10" t="s">
        <v>887</v>
      </c>
      <c r="D156" s="11" t="s">
        <v>1033</v>
      </c>
      <c r="E156" s="11" t="s">
        <v>1034</v>
      </c>
      <c r="F156" s="10" t="s">
        <v>43</v>
      </c>
      <c r="G156" s="10" t="s">
        <v>1035</v>
      </c>
      <c r="H156" s="10" t="s">
        <v>1036</v>
      </c>
      <c r="I156" s="10" t="s">
        <v>821</v>
      </c>
      <c r="J156" s="10" t="s">
        <v>1037</v>
      </c>
      <c r="K156" s="12" t="s">
        <v>1038</v>
      </c>
      <c r="L156" s="10"/>
      <c r="M156" s="2" t="str">
        <f aca="false" t="array" ref="M156:M156">IF($G156="","",IFERROR(INDEX(Ангилал!$A$5:$A$22,MATCH(TRUE(),INDEX(ISNUMBER(SEARCH(Ангилал!$B$5:$B$22,$G156&amp;" "&amp;$D156))+ISNUMBER(SEARCH(Ангилал!$C$5:$C$22,$G156&amp;" "&amp;$D156))+IF(Ангилал!$D$5:$D$22="",0,ISNUMBER(SEARCH(Ангилал!$D$5:$D$22,$G156&amp;" "&amp;$D156)))+IF(Ангилал!$E$5:$E$22="",0,ISNUMBER(SEARCH(Ангилал!$E$5:$E$22,$G156&amp;" "&amp;$D156)))&gt;0,0),0)),"Бусад"))</f>
        <v>Хүүхдийн эрх</v>
      </c>
      <c r="N156" s="2" t="s">
        <v>1039</v>
      </c>
      <c r="O156" s="2" t="str">
        <f aca="false">IF($G156="","",IF($N156&lt;&gt;"",$N156,$M156))</f>
        <v>Ялгаварлан гадуурхалтаас ангид байх, тэгш эрх</v>
      </c>
      <c r="P156" s="2" t="str">
        <f aca="false" t="array" ref="P156:P156">IF($G156="","",IFERROR(INDEX(Ангилал!$G$5:$G$16,MATCH(TRUE(),INDEX(ISNUMBER(SEARCH(Ангилал!$H$5:$H$16,$G156&amp;" "&amp;$D156&amp;" "&amp;$E156))+ISNUMBER(SEARCH(Ангилал!$I$5:$I$16,$G156&amp;" "&amp;$D156&amp;" "&amp;$E156))+ISNUMBER(SEARCH(Ангилал!$J$5:$J$16,$G156&amp;" "&amp;$D156&amp;" "&amp;$E156))+ISNUMBER(SEARCH(Ангилал!$K$5:$K$16,$G156&amp;" "&amp;$D156&amp;" "&amp;$E156))&gt;0,0),0)),"Ерөнхий нийт"))</f>
        <v>Хүүхэд</v>
      </c>
      <c r="Q156" s="2" t="s">
        <v>1007</v>
      </c>
      <c r="R156" s="2" t="str">
        <f aca="false">IF($G156="","",IF($Q156&lt;&gt;"",$Q156,$P156))</f>
        <v>Хөгжлийн бэрхшээлтэй иргэд</v>
      </c>
    </row>
  </sheetData>
  <mergeCells count="27">
    <mergeCell ref="C2:K2"/>
    <mergeCell ref="E3:I3"/>
    <mergeCell ref="A4:B4"/>
    <mergeCell ref="A6:L6"/>
    <mergeCell ref="A11:L11"/>
    <mergeCell ref="A17:L17"/>
    <mergeCell ref="A19:L19"/>
    <mergeCell ref="A24:L24"/>
    <mergeCell ref="A30:L30"/>
    <mergeCell ref="A36:L36"/>
    <mergeCell ref="A47:L47"/>
    <mergeCell ref="A51:L51"/>
    <mergeCell ref="A56:L56"/>
    <mergeCell ref="A61:L61"/>
    <mergeCell ref="A67:L67"/>
    <mergeCell ref="A79:L79"/>
    <mergeCell ref="A82:L82"/>
    <mergeCell ref="A86:L86"/>
    <mergeCell ref="A94:L94"/>
    <mergeCell ref="A97:L97"/>
    <mergeCell ref="A101:L101"/>
    <mergeCell ref="A105:L105"/>
    <mergeCell ref="A107:L107"/>
    <mergeCell ref="A110:L110"/>
    <mergeCell ref="A112:L112"/>
    <mergeCell ref="A125:L125"/>
    <mergeCell ref="A140:L140"/>
  </mergeCells>
  <hyperlinks>
    <hyperlink ref="K7" r:id="rId2" display="https://isee.mn/n/89499&#10;&#10;&#10;https://www.facebook.com/photo?fbid=1273857221519791&amp;set=a.408757958029726"/>
    <hyperlink ref="I8" r:id="rId3" display=" . &#10;Эрсдэлийг олон нийтэд мэдээлсэн боловч авсан шийдвэр тодорхой бус байна. "/>
    <hyperlink ref="K8" r:id="rId4" display="https://www.facebook.com/mnbworld/videos/six-out-of-every-10-playgrounds-across-the-country-pose-a-serious-risk-to-childr/925123123688279/&#10;"/>
    <hyperlink ref="K9" r:id="rId5" display="https://www.facebook.com/mnbworld/videos/news-mongolia-04032026-/2081325279112896/"/>
    <hyperlink ref="K12" r:id="rId6" display="https://gogo.mn/r/d36x0g&#10;https://ikon.mn/n/3mpa"/>
    <hyperlink ref="K13" r:id="rId7" display="https://isee.mn/n/89972"/>
    <hyperlink ref="K14" r:id="rId8" display="https://cmsg.mongolcontent.mn/r/ljem49&#10;&#10;https://ubn.mn/p/96325"/>
    <hyperlink ref="K15" r:id="rId9" display="https://isee.mn/n/89935"/>
    <hyperlink ref="K16" r:id="rId10" display="https://ubn.mn/p/96450"/>
    <hyperlink ref="K18" r:id="rId11" display="https://www.facebook.com/groups/574571992993421/permalink/2540288836421717/?mibextid=wwXIfr&amp;rdid=jJCliaxQsr6Ynik4#"/>
    <hyperlink ref="K20" r:id="rId12" display="https://www.instagram.com/reels/DXoE3toFKao/"/>
    <hyperlink ref="K21" r:id="rId13" display="https://www.facebook.com/story.php?story_fbid=4443773159237570&amp;id=100008147898597&amp;mibextid=wwXIfr&amp;rdid=3spAwJ1uPs49eTQp#"/>
    <hyperlink ref="K22" r:id="rId14" display="https://www.facebook.com/photo?fbid=122168961038663314&amp;set=a.122108145662663314"/>
    <hyperlink ref="K23" r:id="rId15" display="https://x.com/zulegchin_zul/status/2049675579117670498/photo/1"/>
    <hyperlink ref="K25" r:id="rId16" display="https://www.facebook.com/photo?fbid=1534570931563990&amp;set=pcb.1534571024897314"/>
    <hyperlink ref="K26" r:id="rId17" display="https://www.facebook.com/story.php?story_fbid=966537989670660&amp;id=100089434025594&amp;mibextid=wwXIfr&amp;rdid=uOiUtvncs4i01o6e#"/>
    <hyperlink ref="K27" r:id="rId18" display="https://x.com/News_mn/status/2050820114447212810"/>
    <hyperlink ref="K28" r:id="rId19" display="https://x.com/Eguur_mn/status/2051542289936433336"/>
    <hyperlink ref="K29" r:id="rId20" display="https://www.mnb.mn/i/345409"/>
    <hyperlink ref="K31" r:id="rId21" display="https://x.com/erdeneundaroyu/status/2053941920666362041"/>
    <hyperlink ref="K32" r:id="rId22" display="https://shorturl.at/sgJwW"/>
    <hyperlink ref="K33" r:id="rId23" display="https://www.facebook.com/share/v/15niYiD3REY/?mibextid=wwXIfr"/>
    <hyperlink ref="K34" r:id="rId24" display="https://x.com/ariukaaboby/status/2054789815020007486"/>
    <hyperlink ref="K35" r:id="rId25" display="https://x.com/XGerlee/status/2054819313547346201"/>
    <hyperlink ref="K37" r:id="rId26" display="https://www.facebook.com/100001721631371/posts/27112941285013226/?rdid=10Bqt5i9Iswj0y8s#"/>
    <hyperlink ref="K38" r:id="rId27" display="https://www.facebook.com/100063933908097/posts/1480690020738781/?rdid=wiL07pClem4g2rpw#"/>
    <hyperlink ref="K39" r:id="rId28" display="https://tsahiur.mn/n/s/27019"/>
    <hyperlink ref="K40" r:id="rId29" display="https://news.mn/r/2867418/"/>
    <hyperlink ref="K41" r:id="rId30" display="https://news.mn/r/2867369/"/>
    <hyperlink ref="K42" r:id="rId31" display="https://www.facebook.com/story.php?story_fbid=1305486858425685&amp;id=100068931495575&amp;rdid=GVLdPVqWwb5hxmeS#"/>
    <hyperlink ref="K43" r:id="rId32" display="https://www.facebook.com/Tsahiur.mn/videos/%D0%B0%D1%81%D1%83%D1%83%D0%B4%D0%BB%D1%8B%D0%BD-%D0%BC%D3%A9%D1%80%D3%A9%D3%A9%D1%80-%D0%B1%D0%BD%D1%81%D1%83-%D0%B4-%D0%B0%D0%B6%D0%B8%D0%BB%D0%BB%D0%B0%D1%85%D0%B0%D0%B0%D1%80-%D1%8F%D0%B2%D1%81%D0%B0%D0%BD-%D0%BC%D0%BE%D0%BD%D0%B3%D0%BE%D0%BB-%D1%8D%D0%BC%D1%8D%D0%B3%D1%82%D1%8D%D0%B9-%D0%B0%D0%B6%D0%BB%D1%8B%D0%BD-%D0%B1%D0%B0%D0%B9%D1%80%D0%BD%D1%8B-%D0%B4%D0%B0%D1%80%D0%B0%D0%BC%D1%82%D0%B0%D0%BD%D0%B4-%D3%A9%D1%80/1535035791631959/?mibextid=wwXIfr&amp;rdid=r47l6Zb4Hmu8qgJJ"/>
    <hyperlink ref="K44" r:id="rId33" display="https://www.facebook.com/100063933908097/posts/1485016500306133/?mibextid=wwXIfr&amp;rdid=ZOSUnUcvvLd0t953#"/>
    <hyperlink ref="K45" r:id="rId34" display="https://tsahiur.mn/n/s/27043?fbclid=IwdGRjcAR7VfJleHRuA2FlbQIxMQBzcnRjBmFwcF9pZAo2NjI4NTY4Mzc5AAEe8xCjz4Kz2JBAfrN0zqy8iewvRQTictPZTj4VKvaP-sjeV06lijcuf3ic4PQ_aem_lNZLVDJpjS7KDclMwFuA1A"/>
    <hyperlink ref="K46" r:id="rId35" display="https://www.facebook.com/story.php?story_fbid=1485197123621404&amp;id=100063933908097&amp;post_id=100063933908097_1485197123621404&amp;rdid=ezRetvfLchdAzBgv#"/>
    <hyperlink ref="K48" r:id="rId36" display="https://shorturl.at/RyTTF"/>
    <hyperlink ref="K49" r:id="rId37" display="https://eguur.mn/676309/"/>
    <hyperlink ref="K50" r:id="rId38" display="https://ikon.mn/n/3nun"/>
    <hyperlink ref="K52" r:id="rId39" display="https://isee.mn/n/91447"/>
    <hyperlink ref="K54" r:id="rId40" display="https://prosecutor.mn/post/113353"/>
    <hyperlink ref="K55" r:id="rId41" display="https://ikon.mn/n/3o0x"/>
    <hyperlink ref="K57" r:id="rId42" display="https://www.facebook.com/story.php?story_fbid=1504861694988280&amp;id=100063933908097&amp;mibextid=wwXIfr&amp;rdid=9Kz2ryKqlRG6I9xI#"/>
    <hyperlink ref="K58" r:id="rId43" display="https://gogo.mn/r/e04j6d"/>
    <hyperlink ref="K59" r:id="rId44" display="https://isee.mn/n/91946"/>
    <hyperlink ref="K60" r:id="rId45" display="https://zarig.mn/1ijn"/>
    <hyperlink ref="K62" r:id="rId46" display="https://x.com/batkhuu_lw/status/2066440433182646473?s=46"/>
    <hyperlink ref="K63" r:id="rId47" display="https://x.com/batzorig2012/status/2066430318337515965"/>
    <hyperlink ref="K65" r:id="rId48" display="https://www.facebook.com/share/p/1BcANJWDA7/"/>
    <hyperlink ref="E66" r:id="rId49" display="Төрийн байгууллага болон хууль хүчний байгууллагуудын зарим албан хаагчид #ажлын_ачааллаасаа_бус дарга, удирдлагынхаа дарамт, ёс зүйгүй харилцаа хандлагаас халширч, ажилдаа биш даргынхаа ааш аяганд санаа зовинон ажилладаг болсон гэх мэдээлэл, гомдол тасрахгүй байна."/>
    <hyperlink ref="K66" r:id="rId50" display="https://www.facebook.com/share/p/1Es4qy6nzM/"/>
    <hyperlink ref="K68" r:id="rId51" display="https://shorturl.at/ha7bg"/>
    <hyperlink ref="K69" r:id="rId52" display="https://police.gov.mn/a/8140"/>
    <hyperlink ref="K70" r:id="rId53" display="https://www.mnb.mn/i/348483"/>
    <hyperlink ref="K71" r:id="rId54" display="https://www.mnb.mn/i/348493"/>
    <hyperlink ref="K72" r:id="rId55" display="https://www.inews.mn/a/46748"/>
    <hyperlink ref="K73" r:id="rId56" display="https://www.mnb.mn/i/348632"/>
    <hyperlink ref="K74" r:id="rId57" display="https://www.mnb.mn/i/348568"/>
    <hyperlink ref="K75" r:id="rId58" display="https://www.mnb.mn/i/348642"/>
    <hyperlink ref="K76" r:id="rId59" display="https://www.mnb.mn/i/348608"/>
    <hyperlink ref="K77" r:id="rId60" display="https://www.mnb.mn/i/348615"/>
    <hyperlink ref="K78" r:id="rId61" display="https://www.mnb.mn/i/348648"/>
    <hyperlink ref="K80" r:id="rId62" display="https://x.com/mn_zarig/status/2073979269739639111?s=12"/>
    <hyperlink ref="K81" r:id="rId63" display="https://ikon.mn/n/3ouo"/>
    <hyperlink ref="K83" r:id="rId64" display="https://ikon.mn/n/3p09"/>
    <hyperlink ref="K84" r:id="rId65" display="https://www.arslan.mn/social/news/669929.shtml"/>
    <hyperlink ref="K85" r:id="rId66" display="https://www.facebook.com/reel/1561941138820371"/>
    <hyperlink ref="K87" r:id="rId67" display="https://www.mnb.mn/i/349859"/>
    <hyperlink ref="K88" r:id="rId68" display="https://www.mnb.mn/i/349916"/>
    <hyperlink ref="K89" r:id="rId69" display="https://ikon.mn/n/3pa1 &#10; https://www.mnb.mn/i/349949"/>
    <hyperlink ref="K90" r:id="rId70" display="https://ikon.mn/n/3pa2"/>
    <hyperlink ref="K91" r:id="rId71" display="https://ikon.mn/n/3p9c"/>
    <hyperlink ref="K92" r:id="rId72" display="https://www.mnb.mn/i/349892 https://www.mnb.mn/i/349893"/>
    <hyperlink ref="K93" r:id="rId73" display="https://www.mnb.mn/i/349909"/>
    <hyperlink ref="K95" r:id="rId74" display="https://www.facebook.com/story.php?story_fbid=27764954223114874&amp;id=100000810076475&amp;mibextid=wwXIfr&amp;rdid=BLxOpALXWyIjArCn#"/>
    <hyperlink ref="K96" r:id="rId75" display="https://www.facebook.com/story.php?story_fbid=1556084686532647&amp;id=100063933908097&amp;mibextid=wwXIfr&amp;rdid=3Fui2KnS1GeyFIE4#"/>
    <hyperlink ref="K98" r:id="rId76" display="https://www.facebook.com/UBTCC/posts/%D0%BD%D0%B0%D0%B9%D0%BC%D0%B4%D1%83%D0%B3%D0%B0%D0%B0%D1%80-%D1%81%D0%B0%D1%80%D1%8B%D0%BD-15-%D0%BD%D0%B0%D0%B0%D1%81-%D0%B1%D1%83%D1%8E%D1%83-%D1%8D%D0%BD%D1%8D-%D0%B4%D0%BE%D0%BB%D0%BE%D0%BE-%D1%85%D0%BE%D0%BD%D0%BE%D0%B3%D0%B8%D0%B9%D0%BD-%D0%B1%D1%8F%D0%BC%D0%B1%D0%B0-%D0%B3%D0%B0%D1%80%D0%B0%D0%B3%D0%B0%D0%B0%D1%81-%D1%83%D0%BB%D1%81%D1%8B%D0%BD-%D0%B4%D1%83%D0%B3%D0%B0%D0%B0%D1%80%D1%8B%D0%BD-%D1%82/1339849014976453/"/>
    <hyperlink ref="K99" r:id="rId77" display="https://x.com/abazarragchaa/status/2088588472709968059"/>
    <hyperlink ref="K100" r:id="rId78" display="https://presscouncil.mn"/>
    <hyperlink ref="K102" r:id="rId79" display="https://mn-nhrc.gov.mn"/>
    <hyperlink ref="K103" r:id="rId80" display="https://moh.gov.mn"/>
    <hyperlink ref="K104" r:id="rId81" display="https://isee.mn/n/94530"/>
    <hyperlink ref="K106" r:id="rId82" display="https://nhrcm.gov.mn/"/>
    <hyperlink ref="K108" r:id="rId83" display="https://ikon.mn/n/3q6c"/>
    <hyperlink ref="K109" r:id="rId84" display="https://ikon.mn/n/3q84"/>
    <hyperlink ref="K111" r:id="rId85" display="https://ikon.mn/n/3qfb"/>
    <hyperlink ref="K113" r:id="rId86" display="https://ikon.mn/n/3qli&#10;https://ubn.mn/p/101300"/>
    <hyperlink ref="K114" r:id="rId87" display="https://ikon.mn/n/3qku&#10;https://news.zindaa.mn/5d31&#10;https://www.kyivpost.com/post/85416"/>
    <hyperlink ref="K115" r:id="rId88" display="https://www.unuudur.mn/a/284020"/>
    <hyperlink ref="K116" r:id="rId89" display="https://ubn.mn/p/101187"/>
    <hyperlink ref="K117" r:id="rId90" display="https://ikon.mn/n/3qlr&#10;https://ubn.mn/p/101324"/>
    <hyperlink ref="K118" r:id="rId91" display="https://ubn.mn/p/101177"/>
    <hyperlink ref="K119" r:id="rId92" display="https://ubn.mn/p/101264"/>
    <hyperlink ref="K120" r:id="rId93" display="https://news.zindaa.mn/5czv"/>
    <hyperlink ref="K121" r:id="rId94" display="https://ikon.mn/n/3ql5"/>
    <hyperlink ref="K122" r:id="rId95" display="https://www.unuudur.mn/a/284038"/>
    <hyperlink ref="K123" r:id="rId96" display="https://ubn.mn/p/101129&#10;https://ubn.mn/p/101204"/>
    <hyperlink ref="K124" r:id="rId97" display="https://news.mn/r/2889385/"/>
    <hyperlink ref="K128" r:id="rId98" display="https://www.unuudur.mn/a/284088"/>
    <hyperlink ref="K130" r:id="rId99" display="https://eguur.mn/696101/"/>
    <hyperlink ref="K131" r:id="rId100" display="https://www.unuudur.mn/a/284116"/>
    <hyperlink ref="K132" r:id="rId101" display="https://isee.mn/n/95628"/>
    <hyperlink ref="K135" r:id="rId102" display="https://www.unuudur.mn/a/284139"/>
    <hyperlink ref="K137" r:id="rId103" display="https://www.unuudur.mn/a/284156"/>
    <hyperlink ref="K138" r:id="rId104" display="https://www.unuudur.mn/a/284154"/>
    <hyperlink ref="K139" r:id="rId105" display="https://isee.mn/n/95676"/>
    <hyperlink ref="K141" r:id="rId106" display="https://eguur.mn/696821/"/>
    <hyperlink ref="K142" r:id="rId107" display="https://www.unuudur.mn/a/284177"/>
    <hyperlink ref="K143" r:id="rId108" display="https://eguur.mn/697024/"/>
    <hyperlink ref="K144" r:id="rId109" display="https://www.unuudur.mn/a/284202"/>
    <hyperlink ref="K145" r:id="rId110" display="https://www.unuudur.mn/a/284221"/>
    <hyperlink ref="K146" r:id="rId111" display="https://medee.mn/p/200499"/>
    <hyperlink ref="K147" r:id="rId112" display="https://isee.mn/n/95902"/>
    <hyperlink ref="K148" r:id="rId113" display="https://www.unuudur.mn/a/284241"/>
    <hyperlink ref="K150" r:id="rId114" display="https://isee.mn/n/95951"/>
    <hyperlink ref="K152" r:id="rId115" display="https://ikon.mn/n/3qwm"/>
    <hyperlink ref="K153" r:id="rId116" display="https://news.zindaa.mn/5dai"/>
    <hyperlink ref="K155" r:id="rId117" display="https://zarig.mn/1jes"/>
    <hyperlink ref="K156" r:id="rId118" display="https://www.facebook.com/share/v/1CtTZSEJ39/?mibextid=wwXIf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1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33" activePane="bottomLeft" state="frozen"/>
      <selection pane="topLeft" activeCell="A1" activeCellId="0" sqref="A1"/>
      <selection pane="bottomLeft" activeCell="G138" activeCellId="0" sqref="G138"/>
    </sheetView>
  </sheetViews>
  <sheetFormatPr defaultColWidth="8.6796875" defaultRowHeight="15" zeroHeight="false" outlineLevelRow="0" outlineLevelCol="0"/>
  <cols>
    <col collapsed="false" customWidth="true" hidden="false" outlineLevel="0" max="1" min="1" style="0" width="9.14"/>
    <col collapsed="false" customWidth="true" hidden="false" outlineLevel="0" max="2" min="2" style="0" width="27.86"/>
    <col collapsed="false" customWidth="true" hidden="false" outlineLevel="0" max="3" min="3" style="0" width="32.15"/>
    <col collapsed="false" customWidth="true" hidden="false" outlineLevel="0" max="4" min="4" style="0" width="37.29"/>
    <col collapsed="false" customWidth="true" hidden="false" outlineLevel="0" max="5" min="5" style="0" width="64"/>
    <col collapsed="false" customWidth="true" hidden="false" outlineLevel="0" max="6" min="6" style="0" width="36.15"/>
    <col collapsed="false" customWidth="true" hidden="false" outlineLevel="0" max="7" min="7" style="0" width="38.29"/>
    <col collapsed="false" customWidth="true" hidden="false" outlineLevel="0" max="8" min="8" style="0" width="32.57"/>
    <col collapsed="false" customWidth="true" hidden="false" outlineLevel="0" max="9" min="9" style="0" width="29.86"/>
    <col collapsed="false" customWidth="true" hidden="false" outlineLevel="0" max="10" min="10" style="0" width="41.86"/>
    <col collapsed="false" customWidth="true" hidden="false" outlineLevel="0" max="11" min="11" style="0" width="5.29"/>
    <col collapsed="false" customWidth="true" hidden="false" outlineLevel="0" max="12" min="12" style="0" width="40"/>
    <col collapsed="false" customWidth="true" hidden="false" outlineLevel="0" max="13" min="13" style="0" width="26.71"/>
    <col collapsed="false" customWidth="true" hidden="false" outlineLevel="0" max="14" min="14" style="0" width="40"/>
    <col collapsed="false" customWidth="true" hidden="false" outlineLevel="0" max="15" min="15" style="0" width="33.29"/>
    <col collapsed="false" customWidth="true" hidden="false" outlineLevel="0" max="16" min="16" style="0" width="26.71"/>
    <col collapsed="false" customWidth="true" hidden="false" outlineLevel="0" max="17" min="17" style="0" width="33.29"/>
  </cols>
  <sheetData>
    <row r="1" customFormat="false" ht="15" hidden="false" customHeight="false" outlineLevel="0" collapsed="false">
      <c r="A1" s="1"/>
      <c r="B1" s="1"/>
      <c r="C1" s="3" t="s">
        <v>0</v>
      </c>
      <c r="D1" s="3"/>
      <c r="E1" s="3"/>
      <c r="F1" s="3"/>
      <c r="G1" s="3"/>
      <c r="H1" s="3"/>
      <c r="I1" s="3"/>
      <c r="J1" s="3"/>
      <c r="K1" s="3"/>
      <c r="L1" s="2"/>
      <c r="M1" s="2"/>
      <c r="N1" s="2"/>
      <c r="O1" s="2"/>
      <c r="P1" s="2"/>
      <c r="Q1" s="2"/>
    </row>
    <row r="2" customFormat="false" ht="15" hidden="false" customHeight="false" outlineLevel="0" collapsed="false">
      <c r="A2" s="1"/>
      <c r="B2" s="1"/>
      <c r="C2" s="1"/>
      <c r="D2" s="1"/>
      <c r="E2" s="4" t="s">
        <v>1040</v>
      </c>
      <c r="F2" s="4"/>
      <c r="G2" s="4"/>
      <c r="H2" s="4"/>
      <c r="I2" s="4"/>
      <c r="J2" s="1"/>
      <c r="K2" s="2"/>
      <c r="L2" s="2"/>
      <c r="M2" s="2"/>
      <c r="N2" s="2"/>
      <c r="O2" s="2"/>
      <c r="P2" s="2"/>
      <c r="Q2" s="2"/>
    </row>
    <row r="3" customFormat="false" ht="15" hidden="false" customHeight="false" outlineLevel="0" collapsed="false">
      <c r="A3" s="5" t="s">
        <v>2</v>
      </c>
      <c r="B3" s="5"/>
      <c r="C3" s="1"/>
      <c r="D3" s="1"/>
      <c r="E3" s="1"/>
      <c r="F3" s="1"/>
      <c r="G3" s="1"/>
      <c r="H3" s="1"/>
      <c r="I3" s="1"/>
      <c r="J3" s="1" t="s">
        <v>3</v>
      </c>
      <c r="K3" s="2"/>
      <c r="L3" s="2"/>
      <c r="M3" s="2"/>
      <c r="N3" s="2"/>
      <c r="O3" s="2"/>
      <c r="P3" s="2"/>
      <c r="Q3" s="2"/>
    </row>
    <row r="4" customFormat="false" ht="42" hidden="false" customHeight="true" outlineLevel="0" collapsed="false">
      <c r="A4" s="6" t="s">
        <v>4</v>
      </c>
      <c r="B4" s="6" t="s">
        <v>5</v>
      </c>
      <c r="C4" s="6" t="s">
        <v>6</v>
      </c>
      <c r="D4" s="6" t="s">
        <v>7</v>
      </c>
      <c r="E4" s="6" t="s">
        <v>8</v>
      </c>
      <c r="F4" s="6" t="s">
        <v>9</v>
      </c>
      <c r="G4" s="6" t="s">
        <v>10</v>
      </c>
      <c r="H4" s="6" t="s">
        <v>11</v>
      </c>
      <c r="I4" s="6" t="s">
        <v>13</v>
      </c>
      <c r="J4" s="6" t="s">
        <v>14</v>
      </c>
      <c r="K4" s="2"/>
      <c r="L4" s="7" t="s">
        <v>16</v>
      </c>
      <c r="M4" s="7" t="s">
        <v>17</v>
      </c>
      <c r="N4" s="7" t="s">
        <v>18</v>
      </c>
      <c r="O4" s="7" t="s">
        <v>19</v>
      </c>
      <c r="P4" s="7" t="s">
        <v>20</v>
      </c>
      <c r="Q4" s="7" t="s">
        <v>21</v>
      </c>
    </row>
    <row r="5" customFormat="false" ht="57.75" hidden="false" customHeight="true" outlineLevel="0" collapsed="false">
      <c r="A5" s="9" t="n">
        <v>1</v>
      </c>
      <c r="B5" s="10" t="s">
        <v>1041</v>
      </c>
      <c r="C5" s="10" t="s">
        <v>1041</v>
      </c>
      <c r="D5" s="10" t="s">
        <v>1042</v>
      </c>
      <c r="E5" s="10" t="s">
        <v>1043</v>
      </c>
      <c r="F5" s="10" t="s">
        <v>1044</v>
      </c>
      <c r="G5" s="10" t="s">
        <v>1045</v>
      </c>
      <c r="H5" s="10" t="s">
        <v>1046</v>
      </c>
      <c r="I5" s="10" t="s">
        <v>1047</v>
      </c>
      <c r="J5" s="10" t="s">
        <v>1048</v>
      </c>
      <c r="K5" s="2"/>
      <c r="L5" s="2" t="str">
        <f aca="false" t="array" ref="L5:L5">IF($G5="","",IFERROR(INDEX(Ангилал!$A$5:$A$22,MATCH(TRUE(),INDEX(ISNUMBER(SEARCH(Ангилал!$B$5:$B$22,$G5&amp;" "&amp;$E5))+ISNUMBER(SEARCH(Ангилал!$C$5:$C$22,$G5&amp;" "&amp;$E5))+IF(Ангилал!$D$5:$D$22="",0,ISNUMBER(SEARCH(Ангилал!$D$5:$D$22,$G5&amp;" "&amp;$E5)))+IF(Ангилал!$E$5:$E$22="",0,ISNUMBER(SEARCH(Ангилал!$E$5:$E$22,$G5&amp;" "&amp;$E5)))&gt;0,0),0)),"Бусад"))</f>
        <v>Амьд явах, халдашгүй байх эрх</v>
      </c>
      <c r="M5" s="2"/>
      <c r="N5" s="2" t="str">
        <f aca="false">IF($G5="","",IF($M5&lt;&gt;"",$M5,$L5))</f>
        <v>Амьд явах, халдашгүй байх эрх</v>
      </c>
      <c r="O5" s="2" t="str">
        <f aca="false" t="array" ref="O5:O5">IF($G5="","",IFERROR(INDEX(Ангилал!$G$5:$G$16,MATCH(TRUE(),INDEX(ISNUMBER(SEARCH(Ангилал!$H$5:$H$16,$G5&amp;" "&amp;$E5))+ISNUMBER(SEARCH(Ангилал!$I$5:$I$16,$G5&amp;" "&amp;$E5))+ISNUMBER(SEARCH(Ангилал!$J$5:$J$16,$G5&amp;" "&amp;$E5))+ISNUMBER(SEARCH(Ангилал!$K$5:$K$16,$G5&amp;" "&amp;$E5))&gt;0,0),0)),"Ерөнхий нийт"))</f>
        <v>Ерөнхий нийт</v>
      </c>
      <c r="P5" s="2"/>
      <c r="Q5" s="2" t="str">
        <f aca="false">IF($G5="","",IF($P5&lt;&gt;"",$P5,$O5))</f>
        <v>Ерөнхий нийт</v>
      </c>
    </row>
    <row r="6" customFormat="false" ht="43.5" hidden="false" customHeight="true" outlineLevel="0" collapsed="false">
      <c r="A6" s="9" t="n">
        <v>2</v>
      </c>
      <c r="B6" s="10" t="s">
        <v>1041</v>
      </c>
      <c r="C6" s="10" t="s">
        <v>1049</v>
      </c>
      <c r="D6" s="10" t="s">
        <v>1050</v>
      </c>
      <c r="E6" s="10" t="s">
        <v>1051</v>
      </c>
      <c r="F6" s="10" t="s">
        <v>1052</v>
      </c>
      <c r="G6" s="10" t="s">
        <v>1053</v>
      </c>
      <c r="H6" s="10" t="s">
        <v>1054</v>
      </c>
      <c r="I6" s="10" t="s">
        <v>1047</v>
      </c>
      <c r="J6" s="12" t="s">
        <v>1055</v>
      </c>
      <c r="K6" s="2"/>
      <c r="L6" s="2" t="str">
        <f aca="false" t="array" ref="L6:L6">IF($G6="","",IFERROR(INDEX(Ангилал!$A$5:$A$22,MATCH(TRUE(),INDEX(ISNUMBER(SEARCH(Ангилал!$B$5:$B$22,$G6&amp;" "&amp;$E6))+ISNUMBER(SEARCH(Ангилал!$C$5:$C$22,$G6&amp;" "&amp;$E6))+IF(Ангилал!$D$5:$D$22="",0,ISNUMBER(SEARCH(Ангилал!$D$5:$D$22,$G6&amp;" "&amp;$E6)))+IF(Ангилал!$E$5:$E$22="",0,ISNUMBER(SEARCH(Ангилал!$E$5:$E$22,$G6&amp;" "&amp;$E6)))&gt;0,0),0)),"Бусад"))</f>
        <v>Хүнс, ус, орон сууцны эрх</v>
      </c>
      <c r="M6" s="2"/>
      <c r="N6" s="2" t="str">
        <f aca="false">IF($G6="","",IF($M6&lt;&gt;"",$M6,$L6))</f>
        <v>Хүнс, ус, орон сууцны эрх</v>
      </c>
      <c r="O6" s="2" t="str">
        <f aca="false" t="array" ref="O6:O6">IF($G6="","",IFERROR(INDEX(Ангилал!$G$5:$G$16,MATCH(TRUE(),INDEX(ISNUMBER(SEARCH(Ангилал!$H$5:$H$16,$G6&amp;" "&amp;$E6))+ISNUMBER(SEARCH(Ангилал!$I$5:$I$16,$G6&amp;" "&amp;$E6))+ISNUMBER(SEARCH(Ангилал!$J$5:$J$16,$G6&amp;" "&amp;$E6))+ISNUMBER(SEARCH(Ангилал!$K$5:$K$16,$G6&amp;" "&amp;$E6))&gt;0,0),0)),"Ерөнхий нийт"))</f>
        <v>Ерөнхий нийт</v>
      </c>
      <c r="P6" s="2"/>
      <c r="Q6" s="2" t="str">
        <f aca="false">IF($G6="","",IF($P6&lt;&gt;"",$P6,$O6))</f>
        <v>Ерөнхий нийт</v>
      </c>
    </row>
    <row r="7" customFormat="false" ht="43.5" hidden="false" customHeight="true" outlineLevel="0" collapsed="false">
      <c r="A7" s="9" t="n">
        <v>3</v>
      </c>
      <c r="B7" s="10" t="s">
        <v>1041</v>
      </c>
      <c r="C7" s="9" t="n">
        <v>2026.04</v>
      </c>
      <c r="D7" s="10" t="s">
        <v>1056</v>
      </c>
      <c r="E7" s="10" t="s">
        <v>1057</v>
      </c>
      <c r="F7" s="10" t="s">
        <v>1058</v>
      </c>
      <c r="G7" s="10" t="s">
        <v>1059</v>
      </c>
      <c r="H7" s="10"/>
      <c r="I7" s="10" t="s">
        <v>1047</v>
      </c>
      <c r="J7" s="12" t="s">
        <v>1060</v>
      </c>
      <c r="K7" s="2"/>
      <c r="L7" s="2" t="str">
        <f aca="false" t="array" ref="L7:L7">IF($G7="","",IFERROR(INDEX(Ангилал!$A$5:$A$22,MATCH(TRUE(),INDEX(ISNUMBER(SEARCH(Ангилал!$B$5:$B$22,$G7&amp;" "&amp;$E7))+ISNUMBER(SEARCH(Ангилал!$C$5:$C$22,$G7&amp;" "&amp;$E7))+IF(Ангилал!$D$5:$D$22="",0,ISNUMBER(SEARCH(Ангилал!$D$5:$D$22,$G7&amp;" "&amp;$E7)))+IF(Ангилал!$E$5:$E$22="",0,ISNUMBER(SEARCH(Ангилал!$E$5:$E$22,$G7&amp;" "&amp;$E7)))&gt;0,0),0)),"Бусад"))</f>
        <v>Бусад</v>
      </c>
      <c r="M7" s="2"/>
      <c r="N7" s="2" t="str">
        <f aca="false">IF($G7="","",IF($M7&lt;&gt;"",$M7,$L7))</f>
        <v>Бусад</v>
      </c>
      <c r="O7" s="2" t="str">
        <f aca="false" t="array" ref="O7:O7">IF($G7="","",IFERROR(INDEX(Ангилал!$G$5:$G$16,MATCH(TRUE(),INDEX(ISNUMBER(SEARCH(Ангилал!$H$5:$H$16,$G7&amp;" "&amp;$E7))+ISNUMBER(SEARCH(Ангилал!$I$5:$I$16,$G7&amp;" "&amp;$E7))+ISNUMBER(SEARCH(Ангилал!$J$5:$J$16,$G7&amp;" "&amp;$E7))+ISNUMBER(SEARCH(Ангилал!$K$5:$K$16,$G7&amp;" "&amp;$E7))&gt;0,0),0)),"Ерөнхий нийт"))</f>
        <v>Ерөнхий нийт</v>
      </c>
      <c r="P7" s="2"/>
      <c r="Q7" s="2" t="str">
        <f aca="false">IF($G7="","",IF($P7&lt;&gt;"",$P7,$O7))</f>
        <v>Ерөнхий нийт</v>
      </c>
    </row>
    <row r="8" customFormat="false" ht="43.5" hidden="false" customHeight="true" outlineLevel="0" collapsed="false">
      <c r="A8" s="9" t="n">
        <v>4</v>
      </c>
      <c r="B8" s="10" t="s">
        <v>56</v>
      </c>
      <c r="C8" s="10" t="s">
        <v>1061</v>
      </c>
      <c r="D8" s="10" t="s">
        <v>1062</v>
      </c>
      <c r="E8" s="10" t="s">
        <v>1063</v>
      </c>
      <c r="F8" s="10" t="s">
        <v>1064</v>
      </c>
      <c r="G8" s="10" t="s">
        <v>1045</v>
      </c>
      <c r="H8" s="10" t="s">
        <v>1065</v>
      </c>
      <c r="I8" s="10" t="s">
        <v>1047</v>
      </c>
      <c r="J8" s="12" t="s">
        <v>1066</v>
      </c>
      <c r="K8" s="2"/>
      <c r="L8" s="2" t="str">
        <f aca="false" t="array" ref="L8:L8">IF($G8="","",IFERROR(INDEX(Ангилал!$A$5:$A$22,MATCH(TRUE(),INDEX(ISNUMBER(SEARCH(Ангилал!$B$5:$B$22,$G8&amp;" "&amp;$E8))+ISNUMBER(SEARCH(Ангилал!$C$5:$C$22,$G8&amp;" "&amp;$E8))+IF(Ангилал!$D$5:$D$22="",0,ISNUMBER(SEARCH(Ангилал!$D$5:$D$22,$G8&amp;" "&amp;$E8)))+IF(Ангилал!$E$5:$E$22="",0,ISNUMBER(SEARCH(Ангилал!$E$5:$E$22,$G8&amp;" "&amp;$E8)))&gt;0,0),0)),"Бусад"))</f>
        <v>Амьд явах, халдашгүй байх эрх</v>
      </c>
      <c r="M8" s="2"/>
      <c r="N8" s="2" t="str">
        <f aca="false">IF($G8="","",IF($M8&lt;&gt;"",$M8,$L8))</f>
        <v>Амьд явах, халдашгүй байх эрх</v>
      </c>
      <c r="O8" s="2" t="str">
        <f aca="false" t="array" ref="O8:O8">IF($G8="","",IFERROR(INDEX(Ангилал!$G$5:$G$16,MATCH(TRUE(),INDEX(ISNUMBER(SEARCH(Ангилал!$H$5:$H$16,$G8&amp;" "&amp;$E8))+ISNUMBER(SEARCH(Ангилал!$I$5:$I$16,$G8&amp;" "&amp;$E8))+ISNUMBER(SEARCH(Ангилал!$J$5:$J$16,$G8&amp;" "&amp;$E8))+ISNUMBER(SEARCH(Ангилал!$K$5:$K$16,$G8&amp;" "&amp;$E8))&gt;0,0),0)),"Ерөнхий нийт"))</f>
        <v>Ерөнхий нийт</v>
      </c>
      <c r="P8" s="2"/>
      <c r="Q8" s="2" t="str">
        <f aca="false">IF($G8="","",IF($P8&lt;&gt;"",$P8,$O8))</f>
        <v>Ерөнхий нийт</v>
      </c>
    </row>
    <row r="9" customFormat="false" ht="101.25" hidden="false" customHeight="true" outlineLevel="0" collapsed="false">
      <c r="A9" s="9" t="n">
        <v>5</v>
      </c>
      <c r="B9" s="10" t="s">
        <v>1067</v>
      </c>
      <c r="C9" s="10" t="s">
        <v>65</v>
      </c>
      <c r="D9" s="10" t="s">
        <v>1068</v>
      </c>
      <c r="E9" s="10" t="s">
        <v>1069</v>
      </c>
      <c r="F9" s="10" t="s">
        <v>1070</v>
      </c>
      <c r="G9" s="10" t="s">
        <v>1071</v>
      </c>
      <c r="H9" s="10" t="s">
        <v>1072</v>
      </c>
      <c r="I9" s="10" t="s">
        <v>1047</v>
      </c>
      <c r="J9" s="12" t="s">
        <v>1073</v>
      </c>
      <c r="K9" s="2"/>
      <c r="L9" s="2" t="str">
        <f aca="false" t="array" ref="L9:L9">IF($G9="","",IFERROR(INDEX(Ангилал!$A$5:$A$22,MATCH(TRUE(),INDEX(ISNUMBER(SEARCH(Ангилал!$B$5:$B$22,$G9&amp;" "&amp;$E9))+ISNUMBER(SEARCH(Ангилал!$C$5:$C$22,$G9&amp;" "&amp;$E9))+IF(Ангилал!$D$5:$D$22="",0,ISNUMBER(SEARCH(Ангилал!$D$5:$D$22,$G9&amp;" "&amp;$E9)))+IF(Ангилал!$E$5:$E$22="",0,ISNUMBER(SEARCH(Ангилал!$E$5:$E$22,$G9&amp;" "&amp;$E9)))&gt;0,0),0)),"Бусад"))</f>
        <v>Амьд явах, халдашгүй байх эрх</v>
      </c>
      <c r="M9" s="2"/>
      <c r="N9" s="2" t="str">
        <f aca="false">IF($G9="","",IF($M9&lt;&gt;"",$M9,$L9))</f>
        <v>Амьд явах, халдашгүй байх эрх</v>
      </c>
      <c r="O9" s="2" t="str">
        <f aca="false" t="array" ref="O9:O9">IF($G9="","",IFERROR(INDEX(Ангилал!$G$5:$G$16,MATCH(TRUE(),INDEX(ISNUMBER(SEARCH(Ангилал!$H$5:$H$16,$G9&amp;" "&amp;$E9))+ISNUMBER(SEARCH(Ангилал!$I$5:$I$16,$G9&amp;" "&amp;$E9))+ISNUMBER(SEARCH(Ангилал!$J$5:$J$16,$G9&amp;" "&amp;$E9))+ISNUMBER(SEARCH(Ангилал!$K$5:$K$16,$G9&amp;" "&amp;$E9))&gt;0,0),0)),"Ерөнхий нийт"))</f>
        <v>Ерөнхий нийт</v>
      </c>
      <c r="P9" s="2"/>
      <c r="Q9" s="2" t="str">
        <f aca="false">IF($G9="","",IF($P9&lt;&gt;"",$P9,$O9))</f>
        <v>Ерөнхий нийт</v>
      </c>
    </row>
    <row r="10" customFormat="false" ht="129.75" hidden="false" customHeight="true" outlineLevel="0" collapsed="false">
      <c r="A10" s="9" t="n">
        <v>6</v>
      </c>
      <c r="B10" s="10" t="s">
        <v>1067</v>
      </c>
      <c r="C10" s="10" t="s">
        <v>1041</v>
      </c>
      <c r="D10" s="10" t="s">
        <v>1074</v>
      </c>
      <c r="E10" s="10" t="s">
        <v>1075</v>
      </c>
      <c r="F10" s="10"/>
      <c r="G10" s="10" t="s">
        <v>1076</v>
      </c>
      <c r="H10" s="10" t="s">
        <v>1077</v>
      </c>
      <c r="I10" s="10" t="s">
        <v>1078</v>
      </c>
      <c r="J10" s="12" t="s">
        <v>1079</v>
      </c>
      <c r="K10" s="2"/>
      <c r="L10" s="2" t="str">
        <f aca="false" t="array" ref="L10:L10">IF($G10="","",IFERROR(INDEX(Ангилал!$A$5:$A$22,MATCH(TRUE(),INDEX(ISNUMBER(SEARCH(Ангилал!$B$5:$B$22,$G10&amp;" "&amp;$E10))+ISNUMBER(SEARCH(Ангилал!$C$5:$C$22,$G10&amp;" "&amp;$E10))+IF(Ангилал!$D$5:$D$22="",0,ISNUMBER(SEARCH(Ангилал!$D$5:$D$22,$G10&amp;" "&amp;$E10)))+IF(Ангилал!$E$5:$E$22="",0,ISNUMBER(SEARCH(Ангилал!$E$5:$E$22,$G10&amp;" "&amp;$E10)))&gt;0,0),0)),"Бусад"))</f>
        <v>Амьд явах, халдашгүй байх эрх</v>
      </c>
      <c r="M10" s="2"/>
      <c r="N10" s="2" t="str">
        <f aca="false">IF($G10="","",IF($M10&lt;&gt;"",$M10,$L10))</f>
        <v>Амьд явах, халдашгүй байх эрх</v>
      </c>
      <c r="O10" s="2" t="str">
        <f aca="false" t="array" ref="O10:O10">IF($G10="","",IFERROR(INDEX(Ангилал!$G$5:$G$16,MATCH(TRUE(),INDEX(ISNUMBER(SEARCH(Ангилал!$H$5:$H$16,$G10&amp;" "&amp;$E10))+ISNUMBER(SEARCH(Ангилал!$I$5:$I$16,$G10&amp;" "&amp;$E10))+ISNUMBER(SEARCH(Ангилал!$J$5:$J$16,$G10&amp;" "&amp;$E10))+ISNUMBER(SEARCH(Ангилал!$K$5:$K$16,$G10&amp;" "&amp;$E10))&gt;0,0),0)),"Ерөнхий нийт"))</f>
        <v>Эмэгтэйчүүд</v>
      </c>
      <c r="P10" s="2"/>
      <c r="Q10" s="2" t="str">
        <f aca="false">IF($G10="","",IF($P10&lt;&gt;"",$P10,$O10))</f>
        <v>Эмэгтэйчүүд</v>
      </c>
    </row>
    <row r="11" customFormat="false" ht="101.25" hidden="false" customHeight="true" outlineLevel="0" collapsed="false">
      <c r="A11" s="9" t="n">
        <v>7</v>
      </c>
      <c r="B11" s="10" t="s">
        <v>1067</v>
      </c>
      <c r="C11" s="10" t="s">
        <v>65</v>
      </c>
      <c r="D11" s="10" t="s">
        <v>1080</v>
      </c>
      <c r="E11" s="10" t="s">
        <v>1081</v>
      </c>
      <c r="F11" s="10"/>
      <c r="G11" s="10"/>
      <c r="H11" s="10"/>
      <c r="I11" s="10" t="s">
        <v>1082</v>
      </c>
      <c r="J11" s="12" t="s">
        <v>1083</v>
      </c>
      <c r="K11" s="2"/>
      <c r="L11" s="2" t="str">
        <f aca="false" t="array" ref="L11:L11">IF($G11="","",IFERROR(INDEX(Ангилал!$A$5:$A$22,MATCH(TRUE(),INDEX(ISNUMBER(SEARCH(Ангилал!$B$5:$B$22,$G11&amp;" "&amp;$E11))+ISNUMBER(SEARCH(Ангилал!$C$5:$C$22,$G11&amp;" "&amp;$E11))+IF(Ангилал!$D$5:$D$22="",0,ISNUMBER(SEARCH(Ангилал!$D$5:$D$22,$G11&amp;" "&amp;$E11)))+IF(Ангилал!$E$5:$E$22="",0,ISNUMBER(SEARCH(Ангилал!$E$5:$E$22,$G11&amp;" "&amp;$E11)))&gt;0,0),0)),"Бусад"))</f>
        <v/>
      </c>
      <c r="M11" s="2"/>
      <c r="N11" s="2" t="str">
        <f aca="false">IF($G11="","",IF($M11&lt;&gt;"",$M11,$L11))</f>
        <v/>
      </c>
      <c r="O11" s="2" t="str">
        <f aca="false" t="array" ref="O11:O11">IF($G11="","",IFERROR(INDEX(Ангилал!$G$5:$G$16,MATCH(TRUE(),INDEX(ISNUMBER(SEARCH(Ангилал!$H$5:$H$16,$G11&amp;" "&amp;$E11))+ISNUMBER(SEARCH(Ангилал!$I$5:$I$16,$G11&amp;" "&amp;$E11))+ISNUMBER(SEARCH(Ангилал!$J$5:$J$16,$G11&amp;" "&amp;$E11))+ISNUMBER(SEARCH(Ангилал!$K$5:$K$16,$G11&amp;" "&amp;$E11))&gt;0,0),0)),"Ерөнхий нийт"))</f>
        <v/>
      </c>
      <c r="P11" s="2"/>
      <c r="Q11" s="2" t="str">
        <f aca="false">IF($G11="","",IF($P11&lt;&gt;"",$P11,$O11))</f>
        <v/>
      </c>
    </row>
    <row r="12" customFormat="false" ht="24" hidden="false" customHeight="true" outlineLevel="0" collapsed="false">
      <c r="A12" s="13" t="s">
        <v>101</v>
      </c>
      <c r="B12" s="13"/>
      <c r="C12" s="13"/>
      <c r="D12" s="13"/>
      <c r="E12" s="13"/>
      <c r="F12" s="13"/>
      <c r="G12" s="13"/>
      <c r="H12" s="13"/>
      <c r="I12" s="13"/>
      <c r="J12" s="13"/>
      <c r="K12" s="2"/>
      <c r="L12" s="2" t="str">
        <f aca="false" t="array" ref="L12:L12">IF($G12="","",IFERROR(INDEX(Ангилал!$A$5:$A$22,MATCH(TRUE(),INDEX(ISNUMBER(SEARCH(Ангилал!$B$5:$B$22,$G12&amp;" "&amp;$E12))+ISNUMBER(SEARCH(Ангилал!$C$5:$C$22,$G12&amp;" "&amp;$E12))+IF(Ангилал!$D$5:$D$22="",0,ISNUMBER(SEARCH(Ангилал!$D$5:$D$22,$G12&amp;" "&amp;$E12)))+IF(Ангилал!$E$5:$E$22="",0,ISNUMBER(SEARCH(Ангилал!$E$5:$E$22,$G12&amp;" "&amp;$E12)))&gt;0,0),0)),"Бусад"))</f>
        <v/>
      </c>
      <c r="M12" s="2"/>
      <c r="N12" s="2" t="str">
        <f aca="false">IF($G12="","",IF($M12&lt;&gt;"",$M12,$L12))</f>
        <v/>
      </c>
      <c r="O12" s="2" t="str">
        <f aca="false" t="array" ref="O12:O12">IF($G12="","",IFERROR(INDEX(Ангилал!$G$5:$G$16,MATCH(TRUE(),INDEX(ISNUMBER(SEARCH(Ангилал!$H$5:$H$16,$G12&amp;" "&amp;$E12))+ISNUMBER(SEARCH(Ангилал!$I$5:$I$16,$G12&amp;" "&amp;$E12))+ISNUMBER(SEARCH(Ангилал!$J$5:$J$16,$G12&amp;" "&amp;$E12))+ISNUMBER(SEARCH(Ангилал!$K$5:$K$16,$G12&amp;" "&amp;$E12))&gt;0,0),0)),"Ерөнхий нийт"))</f>
        <v/>
      </c>
      <c r="P12" s="2"/>
      <c r="Q12" s="2" t="str">
        <f aca="false">IF($G12="","",IF($P12&lt;&gt;"",$P12,$O12))</f>
        <v/>
      </c>
    </row>
    <row r="13" customFormat="false" ht="57.75" hidden="false" customHeight="true" outlineLevel="0" collapsed="false">
      <c r="A13" s="9" t="n">
        <v>8</v>
      </c>
      <c r="B13" s="10" t="s">
        <v>65</v>
      </c>
      <c r="C13" s="10" t="s">
        <v>56</v>
      </c>
      <c r="D13" s="10" t="s">
        <v>1084</v>
      </c>
      <c r="E13" s="10" t="s">
        <v>1085</v>
      </c>
      <c r="F13" s="10" t="s">
        <v>1086</v>
      </c>
      <c r="G13" s="10" t="s">
        <v>1045</v>
      </c>
      <c r="H13" s="10" t="s">
        <v>1087</v>
      </c>
      <c r="I13" s="10" t="s">
        <v>1088</v>
      </c>
      <c r="J13" s="12" t="s">
        <v>1089</v>
      </c>
      <c r="K13" s="2"/>
      <c r="L13" s="2" t="str">
        <f aca="false" t="array" ref="L13:L13">IF($G13="","",IFERROR(INDEX(Ангилал!$A$5:$A$22,MATCH(TRUE(),INDEX(ISNUMBER(SEARCH(Ангилал!$B$5:$B$22,$G13&amp;" "&amp;$E13))+ISNUMBER(SEARCH(Ангилал!$C$5:$C$22,$G13&amp;" "&amp;$E13))+IF(Ангилал!$D$5:$D$22="",0,ISNUMBER(SEARCH(Ангилал!$D$5:$D$22,$G13&amp;" "&amp;$E13)))+IF(Ангилал!$E$5:$E$22="",0,ISNUMBER(SEARCH(Ангилал!$E$5:$E$22,$G13&amp;" "&amp;$E13)))&gt;0,0),0)),"Бусад"))</f>
        <v>Хүүхдийн эрх</v>
      </c>
      <c r="M13" s="2"/>
      <c r="N13" s="2" t="str">
        <f aca="false">IF($G13="","",IF($M13&lt;&gt;"",$M13,$L13))</f>
        <v>Хүүхдийн эрх</v>
      </c>
      <c r="O13" s="2" t="str">
        <f aca="false" t="array" ref="O13:O13">IF($G13="","",IFERROR(INDEX(Ангилал!$G$5:$G$16,MATCH(TRUE(),INDEX(ISNUMBER(SEARCH(Ангилал!$H$5:$H$16,$G13&amp;" "&amp;$E13))+ISNUMBER(SEARCH(Ангилал!$I$5:$I$16,$G13&amp;" "&amp;$E13))+ISNUMBER(SEARCH(Ангилал!$J$5:$J$16,$G13&amp;" "&amp;$E13))+ISNUMBER(SEARCH(Ангилал!$K$5:$K$16,$G13&amp;" "&amp;$E13))&gt;0,0),0)),"Ерөнхий нийт"))</f>
        <v>Хүүхэд</v>
      </c>
      <c r="P13" s="2"/>
      <c r="Q13" s="2" t="str">
        <f aca="false">IF($G13="","",IF($P13&lt;&gt;"",$P13,$O13))</f>
        <v>Хүүхэд</v>
      </c>
    </row>
    <row r="14" customFormat="false" ht="57.75" hidden="false" customHeight="true" outlineLevel="0" collapsed="false">
      <c r="A14" s="9" t="n">
        <v>9</v>
      </c>
      <c r="B14" s="10" t="s">
        <v>1067</v>
      </c>
      <c r="C14" s="10" t="s">
        <v>65</v>
      </c>
      <c r="D14" s="10" t="s">
        <v>1090</v>
      </c>
      <c r="E14" s="10" t="s">
        <v>1091</v>
      </c>
      <c r="F14" s="10" t="s">
        <v>1092</v>
      </c>
      <c r="G14" s="10" t="s">
        <v>1045</v>
      </c>
      <c r="H14" s="10" t="s">
        <v>1093</v>
      </c>
      <c r="I14" s="10" t="s">
        <v>1088</v>
      </c>
      <c r="J14" s="12" t="s">
        <v>1094</v>
      </c>
      <c r="K14" s="2"/>
      <c r="L14" s="2" t="str">
        <f aca="false" t="array" ref="L14:L14">IF($G14="","",IFERROR(INDEX(Ангилал!$A$5:$A$22,MATCH(TRUE(),INDEX(ISNUMBER(SEARCH(Ангилал!$B$5:$B$22,$G14&amp;" "&amp;$E14))+ISNUMBER(SEARCH(Ангилал!$C$5:$C$22,$G14&amp;" "&amp;$E14))+IF(Ангилал!$D$5:$D$22="",0,ISNUMBER(SEARCH(Ангилал!$D$5:$D$22,$G14&amp;" "&amp;$E14)))+IF(Ангилал!$E$5:$E$22="",0,ISNUMBER(SEARCH(Ангилал!$E$5:$E$22,$G14&amp;" "&amp;$E14)))&gt;0,0),0)),"Бусад"))</f>
        <v>Амьд явах, халдашгүй байх эрх</v>
      </c>
      <c r="M14" s="2"/>
      <c r="N14" s="2" t="str">
        <f aca="false">IF($G14="","",IF($M14&lt;&gt;"",$M14,$L14))</f>
        <v>Амьд явах, халдашгүй байх эрх</v>
      </c>
      <c r="O14" s="2" t="str">
        <f aca="false" t="array" ref="O14:O14">IF($G14="","",IFERROR(INDEX(Ангилал!$G$5:$G$16,MATCH(TRUE(),INDEX(ISNUMBER(SEARCH(Ангилал!$H$5:$H$16,$G14&amp;" "&amp;$E14))+ISNUMBER(SEARCH(Ангилал!$I$5:$I$16,$G14&amp;" "&amp;$E14))+ISNUMBER(SEARCH(Ангилал!$J$5:$J$16,$G14&amp;" "&amp;$E14))+ISNUMBER(SEARCH(Ангилал!$K$5:$K$16,$G14&amp;" "&amp;$E14))&gt;0,0),0)),"Ерөнхий нийт"))</f>
        <v>Ерөнхий нийт</v>
      </c>
      <c r="P14" s="2"/>
      <c r="Q14" s="2" t="str">
        <f aca="false">IF($G14="","",IF($P14&lt;&gt;"",$P14,$O14))</f>
        <v>Ерөнхий нийт</v>
      </c>
    </row>
    <row r="15" customFormat="false" ht="28.5" hidden="false" customHeight="true" outlineLevel="0" collapsed="false">
      <c r="A15" s="9" t="n">
        <v>10</v>
      </c>
      <c r="B15" s="10" t="s">
        <v>1095</v>
      </c>
      <c r="C15" s="10" t="s">
        <v>1096</v>
      </c>
      <c r="D15" s="10" t="s">
        <v>1097</v>
      </c>
      <c r="E15" s="10" t="s">
        <v>1098</v>
      </c>
      <c r="F15" s="10" t="s">
        <v>1099</v>
      </c>
      <c r="G15" s="10" t="s">
        <v>1045</v>
      </c>
      <c r="H15" s="10" t="s">
        <v>1100</v>
      </c>
      <c r="I15" s="10" t="s">
        <v>1088</v>
      </c>
      <c r="J15" s="12" t="s">
        <v>1101</v>
      </c>
      <c r="K15" s="2"/>
      <c r="L15" s="2" t="str">
        <f aca="false" t="array" ref="L15:L15">IF($G15="","",IFERROR(INDEX(Ангилал!$A$5:$A$22,MATCH(TRUE(),INDEX(ISNUMBER(SEARCH(Ангилал!$B$5:$B$22,$G15&amp;" "&amp;$E15))+ISNUMBER(SEARCH(Ангилал!$C$5:$C$22,$G15&amp;" "&amp;$E15))+IF(Ангилал!$D$5:$D$22="",0,ISNUMBER(SEARCH(Ангилал!$D$5:$D$22,$G15&amp;" "&amp;$E15)))+IF(Ангилал!$E$5:$E$22="",0,ISNUMBER(SEARCH(Ангилал!$E$5:$E$22,$G15&amp;" "&amp;$E15)))&gt;0,0),0)),"Бусад"))</f>
        <v>Амьд явах, халдашгүй байх эрх</v>
      </c>
      <c r="M15" s="2"/>
      <c r="N15" s="2" t="str">
        <f aca="false">IF($G15="","",IF($M15&lt;&gt;"",$M15,$L15))</f>
        <v>Амьд явах, халдашгүй байх эрх</v>
      </c>
      <c r="O15" s="2" t="str">
        <f aca="false" t="array" ref="O15:O15">IF($G15="","",IFERROR(INDEX(Ангилал!$G$5:$G$16,MATCH(TRUE(),INDEX(ISNUMBER(SEARCH(Ангилал!$H$5:$H$16,$G15&amp;" "&amp;$E15))+ISNUMBER(SEARCH(Ангилал!$I$5:$I$16,$G15&amp;" "&amp;$E15))+ISNUMBER(SEARCH(Ангилал!$J$5:$J$16,$G15&amp;" "&amp;$E15))+ISNUMBER(SEARCH(Ангилал!$K$5:$K$16,$G15&amp;" "&amp;$E15))&gt;0,0),0)),"Ерөнхий нийт"))</f>
        <v>Ерөнхий нийт</v>
      </c>
      <c r="P15" s="2"/>
      <c r="Q15" s="2" t="str">
        <f aca="false">IF($G15="","",IF($P15&lt;&gt;"",$P15,$O15))</f>
        <v>Ерөнхий нийт</v>
      </c>
    </row>
    <row r="16" customFormat="false" ht="57.75" hidden="false" customHeight="true" outlineLevel="0" collapsed="false">
      <c r="A16" s="9" t="n">
        <v>11</v>
      </c>
      <c r="B16" s="10" t="s">
        <v>1102</v>
      </c>
      <c r="C16" s="10"/>
      <c r="D16" s="10" t="s">
        <v>1103</v>
      </c>
      <c r="E16" s="10" t="s">
        <v>1104</v>
      </c>
      <c r="F16" s="10" t="s">
        <v>1105</v>
      </c>
      <c r="G16" s="10"/>
      <c r="H16" s="10" t="s">
        <v>1106</v>
      </c>
      <c r="I16" s="10" t="s">
        <v>1088</v>
      </c>
      <c r="J16" s="12" t="s">
        <v>1107</v>
      </c>
      <c r="K16" s="2"/>
      <c r="L16" s="2" t="str">
        <f aca="false" t="array" ref="L16:L16">IF($G16="","",IFERROR(INDEX(Ангилал!$A$5:$A$22,MATCH(TRUE(),INDEX(ISNUMBER(SEARCH(Ангилал!$B$5:$B$22,$G16&amp;" "&amp;$E16))+ISNUMBER(SEARCH(Ангилал!$C$5:$C$22,$G16&amp;" "&amp;$E16))+IF(Ангилал!$D$5:$D$22="",0,ISNUMBER(SEARCH(Ангилал!$D$5:$D$22,$G16&amp;" "&amp;$E16)))+IF(Ангилал!$E$5:$E$22="",0,ISNUMBER(SEARCH(Ангилал!$E$5:$E$22,$G16&amp;" "&amp;$E16)))&gt;0,0),0)),"Бусад"))</f>
        <v/>
      </c>
      <c r="M16" s="2"/>
      <c r="N16" s="2" t="str">
        <f aca="false">IF($G16="","",IF($M16&lt;&gt;"",$M16,$L16))</f>
        <v/>
      </c>
      <c r="O16" s="2" t="str">
        <f aca="false" t="array" ref="O16:O16">IF($G16="","",IFERROR(INDEX(Ангилал!$G$5:$G$16,MATCH(TRUE(),INDEX(ISNUMBER(SEARCH(Ангилал!$H$5:$H$16,$G16&amp;" "&amp;$E16))+ISNUMBER(SEARCH(Ангилал!$I$5:$I$16,$G16&amp;" "&amp;$E16))+ISNUMBER(SEARCH(Ангилал!$J$5:$J$16,$G16&amp;" "&amp;$E16))+ISNUMBER(SEARCH(Ангилал!$K$5:$K$16,$G16&amp;" "&amp;$E16))&gt;0,0),0)),"Ерөнхий нийт"))</f>
        <v/>
      </c>
      <c r="P16" s="2"/>
      <c r="Q16" s="2" t="str">
        <f aca="false">IF($G16="","",IF($P16&lt;&gt;"",$P16,$O16))</f>
        <v/>
      </c>
    </row>
    <row r="17" customFormat="false" ht="72" hidden="false" customHeight="true" outlineLevel="0" collapsed="false">
      <c r="A17" s="9" t="n">
        <v>12</v>
      </c>
      <c r="B17" s="10" t="s">
        <v>1108</v>
      </c>
      <c r="C17" s="10"/>
      <c r="D17" s="10" t="s">
        <v>1109</v>
      </c>
      <c r="E17" s="10" t="s">
        <v>1110</v>
      </c>
      <c r="F17" s="10" t="s">
        <v>1111</v>
      </c>
      <c r="G17" s="10" t="s">
        <v>1045</v>
      </c>
      <c r="H17" s="10" t="s">
        <v>1112</v>
      </c>
      <c r="I17" s="10" t="s">
        <v>1113</v>
      </c>
      <c r="J17" s="12" t="s">
        <v>1114</v>
      </c>
      <c r="K17" s="2"/>
      <c r="L17" s="2" t="str">
        <f aca="false" t="array" ref="L17:L17">IF($G17="","",IFERROR(INDEX(Ангилал!$A$5:$A$22,MATCH(TRUE(),INDEX(ISNUMBER(SEARCH(Ангилал!$B$5:$B$22,$G17&amp;" "&amp;$E17))+ISNUMBER(SEARCH(Ангилал!$C$5:$C$22,$G17&amp;" "&amp;$E17))+IF(Ангилал!$D$5:$D$22="",0,ISNUMBER(SEARCH(Ангилал!$D$5:$D$22,$G17&amp;" "&amp;$E17)))+IF(Ангилал!$E$5:$E$22="",0,ISNUMBER(SEARCH(Ангилал!$E$5:$E$22,$G17&amp;" "&amp;$E17)))&gt;0,0),0)),"Бусад"))</f>
        <v>Амьд явах, халдашгүй байх эрх</v>
      </c>
      <c r="M17" s="2"/>
      <c r="N17" s="2" t="str">
        <f aca="false">IF($G17="","",IF($M17&lt;&gt;"",$M17,$L17))</f>
        <v>Амьд явах, халдашгүй байх эрх</v>
      </c>
      <c r="O17" s="2" t="str">
        <f aca="false" t="array" ref="O17:O17">IF($G17="","",IFERROR(INDEX(Ангилал!$G$5:$G$16,MATCH(TRUE(),INDEX(ISNUMBER(SEARCH(Ангилал!$H$5:$H$16,$G17&amp;" "&amp;$E17))+ISNUMBER(SEARCH(Ангилал!$I$5:$I$16,$G17&amp;" "&amp;$E17))+ISNUMBER(SEARCH(Ангилал!$J$5:$J$16,$G17&amp;" "&amp;$E17))+ISNUMBER(SEARCH(Ангилал!$K$5:$K$16,$G17&amp;" "&amp;$E17))&gt;0,0),0)),"Ерөнхий нийт"))</f>
        <v>Ерөнхий нийт</v>
      </c>
      <c r="P17" s="2"/>
      <c r="Q17" s="2" t="str">
        <f aca="false">IF($G17="","",IF($P17&lt;&gt;"",$P17,$O17))</f>
        <v>Ерөнхий нийт</v>
      </c>
    </row>
    <row r="18" customFormat="false" ht="72" hidden="false" customHeight="true" outlineLevel="0" collapsed="false">
      <c r="A18" s="9" t="n">
        <v>13</v>
      </c>
      <c r="B18" s="10" t="s">
        <v>1115</v>
      </c>
      <c r="C18" s="10"/>
      <c r="D18" s="10" t="s">
        <v>1116</v>
      </c>
      <c r="E18" s="10" t="s">
        <v>1117</v>
      </c>
      <c r="F18" s="10" t="s">
        <v>1118</v>
      </c>
      <c r="G18" s="10" t="s">
        <v>1119</v>
      </c>
      <c r="H18" s="10"/>
      <c r="I18" s="10" t="s">
        <v>1047</v>
      </c>
      <c r="J18" s="12" t="s">
        <v>1120</v>
      </c>
      <c r="K18" s="2"/>
      <c r="L18" s="2" t="str">
        <f aca="false" t="array" ref="L18:L18">IF($G18="","",IFERROR(INDEX(Ангилал!$A$5:$A$22,MATCH(TRUE(),INDEX(ISNUMBER(SEARCH(Ангилал!$B$5:$B$22,$G18&amp;" "&amp;$E18))+ISNUMBER(SEARCH(Ангилал!$C$5:$C$22,$G18&amp;" "&amp;$E18))+IF(Ангилал!$D$5:$D$22="",0,ISNUMBER(SEARCH(Ангилал!$D$5:$D$22,$G18&amp;" "&amp;$E18)))+IF(Ангилал!$E$5:$E$22="",0,ISNUMBER(SEARCH(Ангилал!$E$5:$E$22,$G18&amp;" "&amp;$E18)))&gt;0,0),0)),"Бусад"))</f>
        <v>Хүнс, ус, орон сууцны эрх</v>
      </c>
      <c r="M18" s="2"/>
      <c r="N18" s="2" t="str">
        <f aca="false">IF($G18="","",IF($M18&lt;&gt;"",$M18,$L18))</f>
        <v>Хүнс, ус, орон сууцны эрх</v>
      </c>
      <c r="O18" s="2" t="str">
        <f aca="false" t="array" ref="O18:O18">IF($G18="","",IFERROR(INDEX(Ангилал!$G$5:$G$16,MATCH(TRUE(),INDEX(ISNUMBER(SEARCH(Ангилал!$H$5:$H$16,$G18&amp;" "&amp;$E18))+ISNUMBER(SEARCH(Ангилал!$I$5:$I$16,$G18&amp;" "&amp;$E18))+ISNUMBER(SEARCH(Ангилал!$J$5:$J$16,$G18&amp;" "&amp;$E18))+ISNUMBER(SEARCH(Ангилал!$K$5:$K$16,$G18&amp;" "&amp;$E18))&gt;0,0),0)),"Ерөнхий нийт"))</f>
        <v>Ерөнхий нийт</v>
      </c>
      <c r="P18" s="2"/>
      <c r="Q18" s="2" t="str">
        <f aca="false">IF($G18="","",IF($P18&lt;&gt;"",$P18,$O18))</f>
        <v>Ерөнхий нийт</v>
      </c>
    </row>
    <row r="19" customFormat="false" ht="57.75" hidden="false" customHeight="true" outlineLevel="0" collapsed="false">
      <c r="A19" s="9" t="n">
        <v>14</v>
      </c>
      <c r="B19" s="10" t="s">
        <v>102</v>
      </c>
      <c r="C19" s="10"/>
      <c r="D19" s="10" t="s">
        <v>1121</v>
      </c>
      <c r="E19" s="10" t="s">
        <v>1122</v>
      </c>
      <c r="F19" s="10" t="s">
        <v>1123</v>
      </c>
      <c r="G19" s="10" t="s">
        <v>1045</v>
      </c>
      <c r="H19" s="10"/>
      <c r="I19" s="10" t="s">
        <v>1047</v>
      </c>
      <c r="J19" s="12" t="s">
        <v>1124</v>
      </c>
      <c r="K19" s="2"/>
      <c r="L19" s="2" t="str">
        <f aca="false" t="array" ref="L19:L19">IF($G19="","",IFERROR(INDEX(Ангилал!$A$5:$A$22,MATCH(TRUE(),INDEX(ISNUMBER(SEARCH(Ангилал!$B$5:$B$22,$G19&amp;" "&amp;$E19))+ISNUMBER(SEARCH(Ангилал!$C$5:$C$22,$G19&amp;" "&amp;$E19))+IF(Ангилал!$D$5:$D$22="",0,ISNUMBER(SEARCH(Ангилал!$D$5:$D$22,$G19&amp;" "&amp;$E19)))+IF(Ангилал!$E$5:$E$22="",0,ISNUMBER(SEARCH(Ангилал!$E$5:$E$22,$G19&amp;" "&amp;$E19)))&gt;0,0),0)),"Бусад"))</f>
        <v>Амьд явах, халдашгүй байх эрх</v>
      </c>
      <c r="M19" s="2"/>
      <c r="N19" s="2" t="str">
        <f aca="false">IF($G19="","",IF($M19&lt;&gt;"",$M19,$L19))</f>
        <v>Амьд явах, халдашгүй байх эрх</v>
      </c>
      <c r="O19" s="2" t="str">
        <f aca="false" t="array" ref="O19:O19">IF($G19="","",IFERROR(INDEX(Ангилал!$G$5:$G$16,MATCH(TRUE(),INDEX(ISNUMBER(SEARCH(Ангилал!$H$5:$H$16,$G19&amp;" "&amp;$E19))+ISNUMBER(SEARCH(Ангилал!$I$5:$I$16,$G19&amp;" "&amp;$E19))+ISNUMBER(SEARCH(Ангилал!$J$5:$J$16,$G19&amp;" "&amp;$E19))+ISNUMBER(SEARCH(Ангилал!$K$5:$K$16,$G19&amp;" "&amp;$E19))&gt;0,0),0)),"Ерөнхий нийт"))</f>
        <v>Ерөнхий нийт</v>
      </c>
      <c r="P19" s="2"/>
      <c r="Q19" s="2" t="str">
        <f aca="false">IF($G19="","",IF($P19&lt;&gt;"",$P19,$O19))</f>
        <v>Ерөнхий нийт</v>
      </c>
    </row>
    <row r="20" customFormat="false" ht="24" hidden="false" customHeight="true" outlineLevel="0" collapsed="false">
      <c r="A20" s="13" t="s">
        <v>1125</v>
      </c>
      <c r="B20" s="13"/>
      <c r="C20" s="13"/>
      <c r="D20" s="13"/>
      <c r="E20" s="13"/>
      <c r="F20" s="13"/>
      <c r="G20" s="13"/>
      <c r="H20" s="13"/>
      <c r="I20" s="13"/>
      <c r="J20" s="13"/>
      <c r="K20" s="2"/>
      <c r="L20" s="2" t="str">
        <f aca="false" t="array" ref="L20:L20">IF($G20="","",IFERROR(INDEX(Ангилал!$A$5:$A$22,MATCH(TRUE(),INDEX(ISNUMBER(SEARCH(Ангилал!$B$5:$B$22,$G20&amp;" "&amp;$E20))+ISNUMBER(SEARCH(Ангилал!$C$5:$C$22,$G20&amp;" "&amp;$E20))+IF(Ангилал!$D$5:$D$22="",0,ISNUMBER(SEARCH(Ангилал!$D$5:$D$22,$G20&amp;" "&amp;$E20)))+IF(Ангилал!$E$5:$E$22="",0,ISNUMBER(SEARCH(Ангилал!$E$5:$E$22,$G20&amp;" "&amp;$E20)))&gt;0,0),0)),"Бусад"))</f>
        <v/>
      </c>
      <c r="M20" s="2"/>
      <c r="N20" s="2" t="str">
        <f aca="false">IF($G20="","",IF($M20&lt;&gt;"",$M20,$L20))</f>
        <v/>
      </c>
      <c r="O20" s="2" t="str">
        <f aca="false" t="array" ref="O20:O20">IF($G20="","",IFERROR(INDEX(Ангилал!$G$5:$G$16,MATCH(TRUE(),INDEX(ISNUMBER(SEARCH(Ангилал!$H$5:$H$16,$G20&amp;" "&amp;$E20))+ISNUMBER(SEARCH(Ангилал!$I$5:$I$16,$G20&amp;" "&amp;$E20))+ISNUMBER(SEARCH(Ангилал!$J$5:$J$16,$G20&amp;" "&amp;$E20))+ISNUMBER(SEARCH(Ангилал!$K$5:$K$16,$G20&amp;" "&amp;$E20))&gt;0,0),0)),"Ерөнхий нийт"))</f>
        <v/>
      </c>
      <c r="P20" s="2"/>
      <c r="Q20" s="2" t="str">
        <f aca="false">IF($G20="","",IF($P20&lt;&gt;"",$P20,$O20))</f>
        <v/>
      </c>
    </row>
    <row r="21" customFormat="false" ht="57.75" hidden="false" customHeight="true" outlineLevel="0" collapsed="false">
      <c r="A21" s="9" t="n">
        <v>15</v>
      </c>
      <c r="B21" s="10" t="s">
        <v>1126</v>
      </c>
      <c r="C21" s="10" t="s">
        <v>337</v>
      </c>
      <c r="D21" s="10" t="s">
        <v>1127</v>
      </c>
      <c r="E21" s="10" t="s">
        <v>1128</v>
      </c>
      <c r="F21" s="10" t="s">
        <v>337</v>
      </c>
      <c r="G21" s="10" t="s">
        <v>1129</v>
      </c>
      <c r="H21" s="10" t="s">
        <v>337</v>
      </c>
      <c r="I21" s="10" t="s">
        <v>1047</v>
      </c>
      <c r="J21" s="12" t="s">
        <v>1130</v>
      </c>
      <c r="K21" s="2"/>
      <c r="L21" s="2" t="str">
        <f aca="false" t="array" ref="L21:L21">IF($G21="","",IFERROR(INDEX(Ангилал!$A$5:$A$22,MATCH(TRUE(),INDEX(ISNUMBER(SEARCH(Ангилал!$B$5:$B$22,$G21&amp;" "&amp;$E21))+ISNUMBER(SEARCH(Ангилал!$C$5:$C$22,$G21&amp;" "&amp;$E21))+IF(Ангилал!$D$5:$D$22="",0,ISNUMBER(SEARCH(Ангилал!$D$5:$D$22,$G21&amp;" "&amp;$E21)))+IF(Ангилал!$E$5:$E$22="",0,ISNUMBER(SEARCH(Ангилал!$E$5:$E$22,$G21&amp;" "&amp;$E21)))&gt;0,0),0)),"Бусад"))</f>
        <v>Хүнс, ус, орон сууцны эрх</v>
      </c>
      <c r="M21" s="2"/>
      <c r="N21" s="2" t="str">
        <f aca="false">IF($G21="","",IF($M21&lt;&gt;"",$M21,$L21))</f>
        <v>Хүнс, ус, орон сууцны эрх</v>
      </c>
      <c r="O21" s="2" t="str">
        <f aca="false" t="array" ref="O21:O21">IF($G21="","",IFERROR(INDEX(Ангилал!$G$5:$G$16,MATCH(TRUE(),INDEX(ISNUMBER(SEARCH(Ангилал!$H$5:$H$16,$G21&amp;" "&amp;$E21))+ISNUMBER(SEARCH(Ангилал!$I$5:$I$16,$G21&amp;" "&amp;$E21))+ISNUMBER(SEARCH(Ангилал!$J$5:$J$16,$G21&amp;" "&amp;$E21))+ISNUMBER(SEARCH(Ангилал!$K$5:$K$16,$G21&amp;" "&amp;$E21))&gt;0,0),0)),"Ерөнхий нийт"))</f>
        <v>Ерөнхий нийт</v>
      </c>
      <c r="P21" s="2"/>
      <c r="Q21" s="2" t="str">
        <f aca="false">IF($G21="","",IF($P21&lt;&gt;"",$P21,$O21))</f>
        <v>Ерөнхий нийт</v>
      </c>
    </row>
    <row r="22" customFormat="false" ht="86.25" hidden="false" customHeight="true" outlineLevel="0" collapsed="false">
      <c r="A22" s="9" t="n">
        <v>16</v>
      </c>
      <c r="B22" s="10" t="s">
        <v>110</v>
      </c>
      <c r="C22" s="10" t="s">
        <v>337</v>
      </c>
      <c r="D22" s="10" t="s">
        <v>1131</v>
      </c>
      <c r="E22" s="10" t="s">
        <v>1132</v>
      </c>
      <c r="F22" s="10" t="s">
        <v>1133</v>
      </c>
      <c r="G22" s="10" t="s">
        <v>337</v>
      </c>
      <c r="H22" s="10" t="s">
        <v>337</v>
      </c>
      <c r="I22" s="10" t="s">
        <v>1047</v>
      </c>
      <c r="J22" s="12" t="s">
        <v>1134</v>
      </c>
      <c r="K22" s="2"/>
      <c r="L22" s="2" t="str">
        <f aca="false" t="array" ref="L22:L22">IF($G22="","",IFERROR(INDEX(Ангилал!$A$5:$A$22,MATCH(TRUE(),INDEX(ISNUMBER(SEARCH(Ангилал!$B$5:$B$22,$G22&amp;" "&amp;$E22))+ISNUMBER(SEARCH(Ангилал!$C$5:$C$22,$G22&amp;" "&amp;$E22))+IF(Ангилал!$D$5:$D$22="",0,ISNUMBER(SEARCH(Ангилал!$D$5:$D$22,$G22&amp;" "&amp;$E22)))+IF(Ангилал!$E$5:$E$22="",0,ISNUMBER(SEARCH(Ангилал!$E$5:$E$22,$G22&amp;" "&amp;$E22)))&gt;0,0),0)),"Бусад"))</f>
        <v>Бусад</v>
      </c>
      <c r="M22" s="2"/>
      <c r="N22" s="2" t="str">
        <f aca="false">IF($G22="","",IF($M22&lt;&gt;"",$M22,$L22))</f>
        <v>Бусад</v>
      </c>
      <c r="O22" s="2" t="str">
        <f aca="false" t="array" ref="O22:O22">IF($G22="","",IFERROR(INDEX(Ангилал!$G$5:$G$16,MATCH(TRUE(),INDEX(ISNUMBER(SEARCH(Ангилал!$H$5:$H$16,$G22&amp;" "&amp;$E22))+ISNUMBER(SEARCH(Ангилал!$I$5:$I$16,$G22&amp;" "&amp;$E22))+ISNUMBER(SEARCH(Ангилал!$J$5:$J$16,$G22&amp;" "&amp;$E22))+ISNUMBER(SEARCH(Ангилал!$K$5:$K$16,$G22&amp;" "&amp;$E22))&gt;0,0),0)),"Ерөнхий нийт"))</f>
        <v>Ерөнхий нийт</v>
      </c>
      <c r="P22" s="2"/>
      <c r="Q22" s="2" t="str">
        <f aca="false">IF($G22="","",IF($P22&lt;&gt;"",$P22,$O22))</f>
        <v>Ерөнхий нийт</v>
      </c>
    </row>
    <row r="23" customFormat="false" ht="57.75" hidden="false" customHeight="true" outlineLevel="0" collapsed="false">
      <c r="A23" s="9" t="n">
        <v>17</v>
      </c>
      <c r="B23" s="10" t="s">
        <v>1135</v>
      </c>
      <c r="C23" s="10" t="s">
        <v>337</v>
      </c>
      <c r="D23" s="10" t="s">
        <v>1136</v>
      </c>
      <c r="E23" s="10" t="s">
        <v>1137</v>
      </c>
      <c r="F23" s="10" t="s">
        <v>1133</v>
      </c>
      <c r="G23" s="10" t="s">
        <v>337</v>
      </c>
      <c r="H23" s="10" t="s">
        <v>337</v>
      </c>
      <c r="I23" s="10" t="s">
        <v>1113</v>
      </c>
      <c r="J23" s="12" t="s">
        <v>1138</v>
      </c>
      <c r="K23" s="2"/>
      <c r="L23" s="2" t="str">
        <f aca="false" t="array" ref="L23:L23">IF($G23="","",IFERROR(INDEX(Ангилал!$A$5:$A$22,MATCH(TRUE(),INDEX(ISNUMBER(SEARCH(Ангилал!$B$5:$B$22,$G23&amp;" "&amp;$E23))+ISNUMBER(SEARCH(Ангилал!$C$5:$C$22,$G23&amp;" "&amp;$E23))+IF(Ангилал!$D$5:$D$22="",0,ISNUMBER(SEARCH(Ангилал!$D$5:$D$22,$G23&amp;" "&amp;$E23)))+IF(Ангилал!$E$5:$E$22="",0,ISNUMBER(SEARCH(Ангилал!$E$5:$E$22,$G23&amp;" "&amp;$E23)))&gt;0,0),0)),"Бусад"))</f>
        <v>Бусад</v>
      </c>
      <c r="M23" s="2"/>
      <c r="N23" s="2" t="str">
        <f aca="false">IF($G23="","",IF($M23&lt;&gt;"",$M23,$L23))</f>
        <v>Бусад</v>
      </c>
      <c r="O23" s="2" t="str">
        <f aca="false" t="array" ref="O23:O23">IF($G23="","",IFERROR(INDEX(Ангилал!$G$5:$G$16,MATCH(TRUE(),INDEX(ISNUMBER(SEARCH(Ангилал!$H$5:$H$16,$G23&amp;" "&amp;$E23))+ISNUMBER(SEARCH(Ангилал!$I$5:$I$16,$G23&amp;" "&amp;$E23))+ISNUMBER(SEARCH(Ангилал!$J$5:$J$16,$G23&amp;" "&amp;$E23))+ISNUMBER(SEARCH(Ангилал!$K$5:$K$16,$G23&amp;" "&amp;$E23))&gt;0,0),0)),"Ерөнхий нийт"))</f>
        <v>Ерөнхий нийт</v>
      </c>
      <c r="P23" s="2"/>
      <c r="Q23" s="2" t="str">
        <f aca="false">IF($G23="","",IF($P23&lt;&gt;"",$P23,$O23))</f>
        <v>Ерөнхий нийт</v>
      </c>
    </row>
    <row r="24" customFormat="false" ht="43.5" hidden="false" customHeight="true" outlineLevel="0" collapsed="false">
      <c r="A24" s="9" t="n">
        <v>18</v>
      </c>
      <c r="B24" s="10" t="s">
        <v>1135</v>
      </c>
      <c r="C24" s="10" t="s">
        <v>337</v>
      </c>
      <c r="D24" s="10" t="s">
        <v>1139</v>
      </c>
      <c r="E24" s="10" t="s">
        <v>1140</v>
      </c>
      <c r="F24" s="10" t="s">
        <v>1141</v>
      </c>
      <c r="G24" s="10" t="s">
        <v>1045</v>
      </c>
      <c r="H24" s="10" t="s">
        <v>337</v>
      </c>
      <c r="I24" s="10" t="s">
        <v>1088</v>
      </c>
      <c r="J24" s="12" t="s">
        <v>1142</v>
      </c>
      <c r="K24" s="2"/>
      <c r="L24" s="2" t="str">
        <f aca="false" t="array" ref="L24:L24">IF($G24="","",IFERROR(INDEX(Ангилал!$A$5:$A$22,MATCH(TRUE(),INDEX(ISNUMBER(SEARCH(Ангилал!$B$5:$B$22,$G24&amp;" "&amp;$E24))+ISNUMBER(SEARCH(Ангилал!$C$5:$C$22,$G24&amp;" "&amp;$E24))+IF(Ангилал!$D$5:$D$22="",0,ISNUMBER(SEARCH(Ангилал!$D$5:$D$22,$G24&amp;" "&amp;$E24)))+IF(Ангилал!$E$5:$E$22="",0,ISNUMBER(SEARCH(Ангилал!$E$5:$E$22,$G24&amp;" "&amp;$E24)))&gt;0,0),0)),"Бусад"))</f>
        <v>Амьд явах, халдашгүй байх эрх</v>
      </c>
      <c r="M24" s="2"/>
      <c r="N24" s="2" t="str">
        <f aca="false">IF($G24="","",IF($M24&lt;&gt;"",$M24,$L24))</f>
        <v>Амьд явах, халдашгүй байх эрх</v>
      </c>
      <c r="O24" s="2" t="str">
        <f aca="false" t="array" ref="O24:O24">IF($G24="","",IFERROR(INDEX(Ангилал!$G$5:$G$16,MATCH(TRUE(),INDEX(ISNUMBER(SEARCH(Ангилал!$H$5:$H$16,$G24&amp;" "&amp;$E24))+ISNUMBER(SEARCH(Ангилал!$I$5:$I$16,$G24&amp;" "&amp;$E24))+ISNUMBER(SEARCH(Ангилал!$J$5:$J$16,$G24&amp;" "&amp;$E24))+ISNUMBER(SEARCH(Ангилал!$K$5:$K$16,$G24&amp;" "&amp;$E24))&gt;0,0),0)),"Ерөнхий нийт"))</f>
        <v>Цөөнх, үндэстэн ястан</v>
      </c>
      <c r="P24" s="2"/>
      <c r="Q24" s="2" t="str">
        <f aca="false">IF($G24="","",IF($P24&lt;&gt;"",$P24,$O24))</f>
        <v>Цөөнх, үндэстэн ястан</v>
      </c>
    </row>
    <row r="25" customFormat="false" ht="115.5" hidden="false" customHeight="true" outlineLevel="0" collapsed="false">
      <c r="A25" s="9" t="n">
        <v>19</v>
      </c>
      <c r="B25" s="10" t="s">
        <v>1135</v>
      </c>
      <c r="C25" s="10" t="s">
        <v>102</v>
      </c>
      <c r="D25" s="10" t="s">
        <v>1143</v>
      </c>
      <c r="E25" s="10" t="s">
        <v>1144</v>
      </c>
      <c r="F25" s="10" t="s">
        <v>1145</v>
      </c>
      <c r="G25" s="10" t="s">
        <v>1146</v>
      </c>
      <c r="H25" s="10" t="s">
        <v>1147</v>
      </c>
      <c r="I25" s="10" t="s">
        <v>1078</v>
      </c>
      <c r="J25" s="12" t="s">
        <v>1148</v>
      </c>
      <c r="K25" s="2"/>
      <c r="L25" s="2" t="str">
        <f aca="false" t="array" ref="L25:L25">IF($G25="","",IFERROR(INDEX(Ангилал!$A$5:$A$22,MATCH(TRUE(),INDEX(ISNUMBER(SEARCH(Ангилал!$B$5:$B$22,$G25&amp;" "&amp;$E25))+ISNUMBER(SEARCH(Ангилал!$C$5:$C$22,$G25&amp;" "&amp;$E25))+IF(Ангилал!$D$5:$D$22="",0,ISNUMBER(SEARCH(Ангилал!$D$5:$D$22,$G25&amp;" "&amp;$E25)))+IF(Ангилал!$E$5:$E$22="",0,ISNUMBER(SEARCH(Ангилал!$E$5:$E$22,$G25&amp;" "&amp;$E25)))&gt;0,0),0)),"Бусад"))</f>
        <v>Ялгаварлан гадуурхалтаас ангид байх, тэгш эрх</v>
      </c>
      <c r="M25" s="2"/>
      <c r="N25" s="2" t="str">
        <f aca="false">IF($G25="","",IF($M25&lt;&gt;"",$M25,$L25))</f>
        <v>Ялгаварлан гадуурхалтаас ангид байх, тэгш эрх</v>
      </c>
      <c r="O25" s="2" t="str">
        <f aca="false" t="array" ref="O25:O25">IF($G25="","",IFERROR(INDEX(Ангилал!$G$5:$G$16,MATCH(TRUE(),INDEX(ISNUMBER(SEARCH(Ангилал!$H$5:$H$16,$G25&amp;" "&amp;$E25))+ISNUMBER(SEARCH(Ангилал!$I$5:$I$16,$G25&amp;" "&amp;$E25))+ISNUMBER(SEARCH(Ангилал!$J$5:$J$16,$G25&amp;" "&amp;$E25))+ISNUMBER(SEARCH(Ангилал!$K$5:$K$16,$G25&amp;" "&amp;$E25))&gt;0,0),0)),"Ерөнхий нийт"))</f>
        <v>Эмэгтэйчүүд</v>
      </c>
      <c r="P25" s="2"/>
      <c r="Q25" s="2" t="str">
        <f aca="false">IF($G25="","",IF($P25&lt;&gt;"",$P25,$O25))</f>
        <v>Эмэгтэйчүүд</v>
      </c>
    </row>
    <row r="26" customFormat="false" ht="72" hidden="false" customHeight="true" outlineLevel="0" collapsed="false">
      <c r="A26" s="9" t="n">
        <v>20</v>
      </c>
      <c r="B26" s="10" t="s">
        <v>120</v>
      </c>
      <c r="C26" s="10" t="s">
        <v>1135</v>
      </c>
      <c r="D26" s="10" t="s">
        <v>1149</v>
      </c>
      <c r="E26" s="10" t="s">
        <v>1150</v>
      </c>
      <c r="F26" s="10" t="s">
        <v>1151</v>
      </c>
      <c r="G26" s="10" t="s">
        <v>1045</v>
      </c>
      <c r="H26" s="10" t="s">
        <v>1152</v>
      </c>
      <c r="I26" s="10" t="s">
        <v>1088</v>
      </c>
      <c r="J26" s="12" t="s">
        <v>1153</v>
      </c>
      <c r="K26" s="2"/>
      <c r="L26" s="2" t="str">
        <f aca="false" t="array" ref="L26:L26">IF($G26="","",IFERROR(INDEX(Ангилал!$A$5:$A$22,MATCH(TRUE(),INDEX(ISNUMBER(SEARCH(Ангилал!$B$5:$B$22,$G26&amp;" "&amp;$E26))+ISNUMBER(SEARCH(Ангилал!$C$5:$C$22,$G26&amp;" "&amp;$E26))+IF(Ангилал!$D$5:$D$22="",0,ISNUMBER(SEARCH(Ангилал!$D$5:$D$22,$G26&amp;" "&amp;$E26)))+IF(Ангилал!$E$5:$E$22="",0,ISNUMBER(SEARCH(Ангилал!$E$5:$E$22,$G26&amp;" "&amp;$E26)))&gt;0,0),0)),"Бусад"))</f>
        <v>Амьд явах, халдашгүй байх эрх</v>
      </c>
      <c r="M26" s="2"/>
      <c r="N26" s="2" t="str">
        <f aca="false">IF($G26="","",IF($M26&lt;&gt;"",$M26,$L26))</f>
        <v>Амьд явах, халдашгүй байх эрх</v>
      </c>
      <c r="O26" s="2" t="str">
        <f aca="false" t="array" ref="O26:O26">IF($G26="","",IFERROR(INDEX(Ангилал!$G$5:$G$16,MATCH(TRUE(),INDEX(ISNUMBER(SEARCH(Ангилал!$H$5:$H$16,$G26&amp;" "&amp;$E26))+ISNUMBER(SEARCH(Ангилал!$I$5:$I$16,$G26&amp;" "&amp;$E26))+ISNUMBER(SEARCH(Ангилал!$J$5:$J$16,$G26&amp;" "&amp;$E26))+ISNUMBER(SEARCH(Ангилал!$K$5:$K$16,$G26&amp;" "&amp;$E26))&gt;0,0),0)),"Ерөнхий нийт"))</f>
        <v>Ерөнхий нийт</v>
      </c>
      <c r="P26" s="2"/>
      <c r="Q26" s="2" t="str">
        <f aca="false">IF($G26="","",IF($P26&lt;&gt;"",$P26,$O26))</f>
        <v>Ерөнхий нийт</v>
      </c>
    </row>
    <row r="27" customFormat="false" ht="57.75" hidden="false" customHeight="true" outlineLevel="0" collapsed="false">
      <c r="A27" s="9" t="n">
        <v>21</v>
      </c>
      <c r="B27" s="10" t="s">
        <v>120</v>
      </c>
      <c r="C27" s="10" t="s">
        <v>337</v>
      </c>
      <c r="D27" s="10" t="s">
        <v>1154</v>
      </c>
      <c r="E27" s="10" t="s">
        <v>1155</v>
      </c>
      <c r="F27" s="10" t="s">
        <v>1156</v>
      </c>
      <c r="G27" s="10" t="s">
        <v>1076</v>
      </c>
      <c r="H27" s="10" t="s">
        <v>337</v>
      </c>
      <c r="I27" s="10" t="s">
        <v>1078</v>
      </c>
      <c r="J27" s="12" t="s">
        <v>1157</v>
      </c>
      <c r="K27" s="2"/>
      <c r="L27" s="2" t="str">
        <f aca="false" t="array" ref="L27:L27">IF($G27="","",IFERROR(INDEX(Ангилал!$A$5:$A$22,MATCH(TRUE(),INDEX(ISNUMBER(SEARCH(Ангилал!$B$5:$B$22,$G27&amp;" "&amp;$E27))+ISNUMBER(SEARCH(Ангилал!$C$5:$C$22,$G27&amp;" "&amp;$E27))+IF(Ангилал!$D$5:$D$22="",0,ISNUMBER(SEARCH(Ангилал!$D$5:$D$22,$G27&amp;" "&amp;$E27)))+IF(Ангилал!$E$5:$E$22="",0,ISNUMBER(SEARCH(Ангилал!$E$5:$E$22,$G27&amp;" "&amp;$E27)))&gt;0,0),0)),"Бусад"))</f>
        <v>Амьд явах, халдашгүй байх эрх</v>
      </c>
      <c r="M27" s="2"/>
      <c r="N27" s="2" t="str">
        <f aca="false">IF($G27="","",IF($M27&lt;&gt;"",$M27,$L27))</f>
        <v>Амьд явах, халдашгүй байх эрх</v>
      </c>
      <c r="O27" s="2" t="str">
        <f aca="false" t="array" ref="O27:O27">IF($G27="","",IFERROR(INDEX(Ангилал!$G$5:$G$16,MATCH(TRUE(),INDEX(ISNUMBER(SEARCH(Ангилал!$H$5:$H$16,$G27&amp;" "&amp;$E27))+ISNUMBER(SEARCH(Ангилал!$I$5:$I$16,$G27&amp;" "&amp;$E27))+ISNUMBER(SEARCH(Ангилал!$J$5:$J$16,$G27&amp;" "&amp;$E27))+ISNUMBER(SEARCH(Ангилал!$K$5:$K$16,$G27&amp;" "&amp;$E27))&gt;0,0),0)),"Ерөнхий нийт"))</f>
        <v>Ерөнхий нийт</v>
      </c>
      <c r="P27" s="2"/>
      <c r="Q27" s="2" t="str">
        <f aca="false">IF($G27="","",IF($P27&lt;&gt;"",$P27,$O27))</f>
        <v>Ерөнхий нийт</v>
      </c>
    </row>
    <row r="28" customFormat="false" ht="57.75" hidden="false" customHeight="true" outlineLevel="0" collapsed="false">
      <c r="A28" s="9" t="n">
        <v>22</v>
      </c>
      <c r="B28" s="10" t="s">
        <v>137</v>
      </c>
      <c r="C28" s="10" t="s">
        <v>337</v>
      </c>
      <c r="D28" s="10" t="s">
        <v>1158</v>
      </c>
      <c r="E28" s="10" t="s">
        <v>1159</v>
      </c>
      <c r="F28" s="10" t="s">
        <v>1160</v>
      </c>
      <c r="G28" s="10" t="s">
        <v>337</v>
      </c>
      <c r="H28" s="10" t="s">
        <v>1054</v>
      </c>
      <c r="I28" s="10" t="s">
        <v>1047</v>
      </c>
      <c r="J28" s="12" t="s">
        <v>1161</v>
      </c>
      <c r="K28" s="2"/>
      <c r="L28" s="2" t="str">
        <f aca="false" t="array" ref="L28:L28">IF($G28="","",IFERROR(INDEX(Ангилал!$A$5:$A$22,MATCH(TRUE(),INDEX(ISNUMBER(SEARCH(Ангилал!$B$5:$B$22,$G28&amp;" "&amp;$E28))+ISNUMBER(SEARCH(Ангилал!$C$5:$C$22,$G28&amp;" "&amp;$E28))+IF(Ангилал!$D$5:$D$22="",0,ISNUMBER(SEARCH(Ангилал!$D$5:$D$22,$G28&amp;" "&amp;$E28)))+IF(Ангилал!$E$5:$E$22="",0,ISNUMBER(SEARCH(Ангилал!$E$5:$E$22,$G28&amp;" "&amp;$E28)))&gt;0,0),0)),"Бусад"))</f>
        <v>Хүнс, ус, орон сууцны эрх</v>
      </c>
      <c r="M28" s="2"/>
      <c r="N28" s="2" t="str">
        <f aca="false">IF($G28="","",IF($M28&lt;&gt;"",$M28,$L28))</f>
        <v>Хүнс, ус, орон сууцны эрх</v>
      </c>
      <c r="O28" s="2" t="str">
        <f aca="false" t="array" ref="O28:O28">IF($G28="","",IFERROR(INDEX(Ангилал!$G$5:$G$16,MATCH(TRUE(),INDEX(ISNUMBER(SEARCH(Ангилал!$H$5:$H$16,$G28&amp;" "&amp;$E28))+ISNUMBER(SEARCH(Ангилал!$I$5:$I$16,$G28&amp;" "&amp;$E28))+ISNUMBER(SEARCH(Ангилал!$J$5:$J$16,$G28&amp;" "&amp;$E28))+ISNUMBER(SEARCH(Ангилал!$K$5:$K$16,$G28&amp;" "&amp;$E28))&gt;0,0),0)),"Ерөнхий нийт"))</f>
        <v>Ерөнхий нийт</v>
      </c>
      <c r="P28" s="2"/>
      <c r="Q28" s="2" t="str">
        <f aca="false">IF($G28="","",IF($P28&lt;&gt;"",$P28,$O28))</f>
        <v>Ерөнхий нийт</v>
      </c>
    </row>
    <row r="29" customFormat="false" ht="72" hidden="false" customHeight="true" outlineLevel="0" collapsed="false">
      <c r="A29" s="9" t="n">
        <v>23</v>
      </c>
      <c r="B29" s="10" t="s">
        <v>137</v>
      </c>
      <c r="C29" s="10" t="s">
        <v>337</v>
      </c>
      <c r="D29" s="10" t="s">
        <v>1162</v>
      </c>
      <c r="E29" s="10" t="s">
        <v>1163</v>
      </c>
      <c r="F29" s="10" t="s">
        <v>1160</v>
      </c>
      <c r="G29" s="10" t="s">
        <v>337</v>
      </c>
      <c r="H29" s="10" t="s">
        <v>337</v>
      </c>
      <c r="I29" s="10" t="s">
        <v>1047</v>
      </c>
      <c r="J29" s="12" t="s">
        <v>1164</v>
      </c>
      <c r="K29" s="2"/>
      <c r="L29" s="2" t="str">
        <f aca="false" t="array" ref="L29:L29">IF($G29="","",IFERROR(INDEX(Ангилал!$A$5:$A$22,MATCH(TRUE(),INDEX(ISNUMBER(SEARCH(Ангилал!$B$5:$B$22,$G29&amp;" "&amp;$E29))+ISNUMBER(SEARCH(Ангилал!$C$5:$C$22,$G29&amp;" "&amp;$E29))+IF(Ангилал!$D$5:$D$22="",0,ISNUMBER(SEARCH(Ангилал!$D$5:$D$22,$G29&amp;" "&amp;$E29)))+IF(Ангилал!$E$5:$E$22="",0,ISNUMBER(SEARCH(Ангилал!$E$5:$E$22,$G29&amp;" "&amp;$E29)))&gt;0,0),0)),"Бусад"))</f>
        <v>Шашин шүтэх эрх</v>
      </c>
      <c r="M29" s="2"/>
      <c r="N29" s="2" t="str">
        <f aca="false">IF($G29="","",IF($M29&lt;&gt;"",$M29,$L29))</f>
        <v>Шашин шүтэх эрх</v>
      </c>
      <c r="O29" s="2" t="str">
        <f aca="false" t="array" ref="O29:O29">IF($G29="","",IFERROR(INDEX(Ангилал!$G$5:$G$16,MATCH(TRUE(),INDEX(ISNUMBER(SEARCH(Ангилал!$H$5:$H$16,$G29&amp;" "&amp;$E29))+ISNUMBER(SEARCH(Ангилал!$I$5:$I$16,$G29&amp;" "&amp;$E29))+ISNUMBER(SEARCH(Ангилал!$J$5:$J$16,$G29&amp;" "&amp;$E29))+ISNUMBER(SEARCH(Ангилал!$K$5:$K$16,$G29&amp;" "&amp;$E29))&gt;0,0),0)),"Ерөнхий нийт"))</f>
        <v>Ерөнхий нийт</v>
      </c>
      <c r="P29" s="2"/>
      <c r="Q29" s="2" t="str">
        <f aca="false">IF($G29="","",IF($P29&lt;&gt;"",$P29,$O29))</f>
        <v>Ерөнхий нийт</v>
      </c>
    </row>
    <row r="30" customFormat="false" ht="24" hidden="false" customHeight="true" outlineLevel="0" collapsed="false">
      <c r="A30" s="13" t="s">
        <v>1165</v>
      </c>
      <c r="B30" s="13"/>
      <c r="C30" s="13"/>
      <c r="D30" s="13"/>
      <c r="E30" s="13"/>
      <c r="F30" s="13"/>
      <c r="G30" s="13"/>
      <c r="H30" s="13"/>
      <c r="I30" s="13"/>
      <c r="J30" s="13"/>
      <c r="K30" s="2"/>
      <c r="L30" s="2" t="str">
        <f aca="false" t="array" ref="L30:L30">IF($G30="","",IFERROR(INDEX(Ангилал!$A$5:$A$22,MATCH(TRUE(),INDEX(ISNUMBER(SEARCH(Ангилал!$B$5:$B$22,$G30&amp;" "&amp;$E30))+ISNUMBER(SEARCH(Ангилал!$C$5:$C$22,$G30&amp;" "&amp;$E30))+IF(Ангилал!$D$5:$D$22="",0,ISNUMBER(SEARCH(Ангилал!$D$5:$D$22,$G30&amp;" "&amp;$E30)))+IF(Ангилал!$E$5:$E$22="",0,ISNUMBER(SEARCH(Ангилал!$E$5:$E$22,$G30&amp;" "&amp;$E30)))&gt;0,0),0)),"Бусад"))</f>
        <v/>
      </c>
      <c r="M30" s="2"/>
      <c r="N30" s="2" t="str">
        <f aca="false">IF($G30="","",IF($M30&lt;&gt;"",$M30,$L30))</f>
        <v/>
      </c>
      <c r="O30" s="2" t="str">
        <f aca="false" t="array" ref="O30:O30">IF($G30="","",IFERROR(INDEX(Ангилал!$G$5:$G$16,MATCH(TRUE(),INDEX(ISNUMBER(SEARCH(Ангилал!$H$5:$H$16,$G30&amp;" "&amp;$E30))+ISNUMBER(SEARCH(Ангилал!$I$5:$I$16,$G30&amp;" "&amp;$E30))+ISNUMBER(SEARCH(Ангилал!$J$5:$J$16,$G30&amp;" "&amp;$E30))+ISNUMBER(SEARCH(Ангилал!$K$5:$K$16,$G30&amp;" "&amp;$E30))&gt;0,0),0)),"Ерөнхий нийт"))</f>
        <v/>
      </c>
      <c r="P30" s="2"/>
      <c r="Q30" s="2" t="str">
        <f aca="false">IF($G30="","",IF($P30&lt;&gt;"",$P30,$O30))</f>
        <v/>
      </c>
    </row>
    <row r="31" customFormat="false" ht="57.75" hidden="false" customHeight="true" outlineLevel="0" collapsed="false">
      <c r="A31" s="9" t="n">
        <v>24</v>
      </c>
      <c r="B31" s="10" t="s">
        <v>337</v>
      </c>
      <c r="C31" s="10" t="s">
        <v>137</v>
      </c>
      <c r="D31" s="10" t="s">
        <v>1166</v>
      </c>
      <c r="E31" s="10" t="s">
        <v>1167</v>
      </c>
      <c r="F31" s="10" t="s">
        <v>337</v>
      </c>
      <c r="G31" s="10" t="s">
        <v>1168</v>
      </c>
      <c r="H31" s="10" t="s">
        <v>337</v>
      </c>
      <c r="I31" s="10" t="s">
        <v>1169</v>
      </c>
      <c r="J31" s="12" t="s">
        <v>1170</v>
      </c>
      <c r="K31" s="2"/>
      <c r="L31" s="2" t="str">
        <f aca="false" t="array" ref="L31:L31">IF($G31="","",IFERROR(INDEX(Ангилал!$A$5:$A$22,MATCH(TRUE(),INDEX(ISNUMBER(SEARCH(Ангилал!$B$5:$B$22,$G31&amp;" "&amp;$E31))+ISNUMBER(SEARCH(Ангилал!$C$5:$C$22,$G31&amp;" "&amp;$E31))+IF(Ангилал!$D$5:$D$22="",0,ISNUMBER(SEARCH(Ангилал!$D$5:$D$22,$G31&amp;" "&amp;$E31)))+IF(Ангилал!$E$5:$E$22="",0,ISNUMBER(SEARCH(Ангилал!$E$5:$E$22,$G31&amp;" "&amp;$E31)))&gt;0,0),0)),"Бусад"))</f>
        <v>Бусад</v>
      </c>
      <c r="M31" s="2"/>
      <c r="N31" s="2" t="str">
        <f aca="false">IF($G31="","",IF($M31&lt;&gt;"",$M31,$L31))</f>
        <v>Бусад</v>
      </c>
      <c r="O31" s="2" t="str">
        <f aca="false" t="array" ref="O31:O31">IF($G31="","",IFERROR(INDEX(Ангилал!$G$5:$G$16,MATCH(TRUE(),INDEX(ISNUMBER(SEARCH(Ангилал!$H$5:$H$16,$G31&amp;" "&amp;$E31))+ISNUMBER(SEARCH(Ангилал!$I$5:$I$16,$G31&amp;" "&amp;$E31))+ISNUMBER(SEARCH(Ангилал!$J$5:$J$16,$G31&amp;" "&amp;$E31))+ISNUMBER(SEARCH(Ангилал!$K$5:$K$16,$G31&amp;" "&amp;$E31))&gt;0,0),0)),"Ерөнхий нийт"))</f>
        <v>Ерөнхий нийт</v>
      </c>
      <c r="P31" s="2"/>
      <c r="Q31" s="2" t="str">
        <f aca="false">IF($G31="","",IF($P31&lt;&gt;"",$P31,$O31))</f>
        <v>Ерөнхий нийт</v>
      </c>
    </row>
    <row r="32" customFormat="false" ht="86.25" hidden="false" customHeight="true" outlineLevel="0" collapsed="false">
      <c r="A32" s="9" t="n">
        <v>25</v>
      </c>
      <c r="B32" s="10" t="s">
        <v>337</v>
      </c>
      <c r="C32" s="10" t="s">
        <v>137</v>
      </c>
      <c r="D32" s="10" t="s">
        <v>1171</v>
      </c>
      <c r="E32" s="10" t="s">
        <v>1172</v>
      </c>
      <c r="F32" s="10" t="s">
        <v>1160</v>
      </c>
      <c r="G32" s="10" t="s">
        <v>1173</v>
      </c>
      <c r="H32" s="10" t="s">
        <v>337</v>
      </c>
      <c r="I32" s="10" t="s">
        <v>1047</v>
      </c>
      <c r="J32" s="12" t="s">
        <v>1174</v>
      </c>
      <c r="K32" s="2"/>
      <c r="L32" s="2" t="str">
        <f aca="false" t="array" ref="L32:L32">IF($G32="","",IFERROR(INDEX(Ангилал!$A$5:$A$22,MATCH(TRUE(),INDEX(ISNUMBER(SEARCH(Ангилал!$B$5:$B$22,$G32&amp;" "&amp;$E32))+ISNUMBER(SEARCH(Ангилал!$C$5:$C$22,$G32&amp;" "&amp;$E32))+IF(Ангилал!$D$5:$D$22="",0,ISNUMBER(SEARCH(Ангилал!$D$5:$D$22,$G32&amp;" "&amp;$E32)))+IF(Ангилал!$E$5:$E$22="",0,ISNUMBER(SEARCH(Ангилал!$E$5:$E$22,$G32&amp;" "&amp;$E32)))&gt;0,0),0)),"Бусад"))</f>
        <v>Амьд явах, халдашгүй байх эрх</v>
      </c>
      <c r="M32" s="2"/>
      <c r="N32" s="2" t="str">
        <f aca="false">IF($G32="","",IF($M32&lt;&gt;"",$M32,$L32))</f>
        <v>Амьд явах, халдашгүй байх эрх</v>
      </c>
      <c r="O32" s="2" t="str">
        <f aca="false" t="array" ref="O32:O32">IF($G32="","",IFERROR(INDEX(Ангилал!$G$5:$G$16,MATCH(TRUE(),INDEX(ISNUMBER(SEARCH(Ангилал!$H$5:$H$16,$G32&amp;" "&amp;$E32))+ISNUMBER(SEARCH(Ангилал!$I$5:$I$16,$G32&amp;" "&amp;$E32))+ISNUMBER(SEARCH(Ангилал!$J$5:$J$16,$G32&amp;" "&amp;$E32))+ISNUMBER(SEARCH(Ангилал!$K$5:$K$16,$G32&amp;" "&amp;$E32))&gt;0,0),0)),"Ерөнхий нийт"))</f>
        <v>Эмэгтэйчүүд</v>
      </c>
      <c r="P32" s="2"/>
      <c r="Q32" s="2" t="str">
        <f aca="false">IF($G32="","",IF($P32&lt;&gt;"",$P32,$O32))</f>
        <v>Эмэгтэйчүүд</v>
      </c>
    </row>
    <row r="33" customFormat="false" ht="57.75" hidden="false" customHeight="true" outlineLevel="0" collapsed="false">
      <c r="A33" s="9" t="n">
        <v>26</v>
      </c>
      <c r="B33" s="10" t="s">
        <v>137</v>
      </c>
      <c r="C33" s="10" t="s">
        <v>120</v>
      </c>
      <c r="D33" s="10" t="s">
        <v>1175</v>
      </c>
      <c r="E33" s="10" t="s">
        <v>1176</v>
      </c>
      <c r="F33" s="10" t="s">
        <v>1177</v>
      </c>
      <c r="G33" s="10" t="s">
        <v>1178</v>
      </c>
      <c r="H33" s="10" t="s">
        <v>1179</v>
      </c>
      <c r="I33" s="10" t="s">
        <v>1180</v>
      </c>
      <c r="J33" s="12" t="s">
        <v>1181</v>
      </c>
      <c r="K33" s="2"/>
      <c r="L33" s="2" t="str">
        <f aca="false" t="array" ref="L33:L33">IF($G33="","",IFERROR(INDEX(Ангилал!$A$5:$A$22,MATCH(TRUE(),INDEX(ISNUMBER(SEARCH(Ангилал!$B$5:$B$22,$G33&amp;" "&amp;$E33))+ISNUMBER(SEARCH(Ангилал!$C$5:$C$22,$G33&amp;" "&amp;$E33))+IF(Ангилал!$D$5:$D$22="",0,ISNUMBER(SEARCH(Ангилал!$D$5:$D$22,$G33&amp;" "&amp;$E33)))+IF(Ангилал!$E$5:$E$22="",0,ISNUMBER(SEARCH(Ангилал!$E$5:$E$22,$G33&amp;" "&amp;$E33)))&gt;0,0),0)),"Бусад"))</f>
        <v>Амьд явах, халдашгүй байх эрх</v>
      </c>
      <c r="M33" s="2"/>
      <c r="N33" s="2" t="str">
        <f aca="false">IF($G33="","",IF($M33&lt;&gt;"",$M33,$L33))</f>
        <v>Амьд явах, халдашгүй байх эрх</v>
      </c>
      <c r="O33" s="2" t="str">
        <f aca="false" t="array" ref="O33:O33">IF($G33="","",IFERROR(INDEX(Ангилал!$G$5:$G$16,MATCH(TRUE(),INDEX(ISNUMBER(SEARCH(Ангилал!$H$5:$H$16,$G33&amp;" "&amp;$E33))+ISNUMBER(SEARCH(Ангилал!$I$5:$I$16,$G33&amp;" "&amp;$E33))+ISNUMBER(SEARCH(Ангилал!$J$5:$J$16,$G33&amp;" "&amp;$E33))+ISNUMBER(SEARCH(Ангилал!$K$5:$K$16,$G33&amp;" "&amp;$E33))&gt;0,0),0)),"Ерөнхий нийт"))</f>
        <v>Ерөнхий нийт</v>
      </c>
      <c r="P33" s="2"/>
      <c r="Q33" s="2" t="str">
        <f aca="false">IF($G33="","",IF($P33&lt;&gt;"",$P33,$O33))</f>
        <v>Ерөнхий нийт</v>
      </c>
    </row>
    <row r="34" customFormat="false" ht="57.75" hidden="false" customHeight="true" outlineLevel="0" collapsed="false">
      <c r="A34" s="9" t="n">
        <v>27</v>
      </c>
      <c r="B34" s="10" t="s">
        <v>1182</v>
      </c>
      <c r="C34" s="10" t="s">
        <v>337</v>
      </c>
      <c r="D34" s="10" t="s">
        <v>1183</v>
      </c>
      <c r="E34" s="10" t="s">
        <v>1184</v>
      </c>
      <c r="F34" s="10" t="s">
        <v>1185</v>
      </c>
      <c r="G34" s="10" t="s">
        <v>1186</v>
      </c>
      <c r="H34" s="10" t="s">
        <v>337</v>
      </c>
      <c r="I34" s="10" t="s">
        <v>1187</v>
      </c>
      <c r="J34" s="12" t="s">
        <v>1188</v>
      </c>
      <c r="K34" s="2"/>
      <c r="L34" s="2" t="str">
        <f aca="false" t="array" ref="L34:L34">IF($G34="","",IFERROR(INDEX(Ангилал!$A$5:$A$22,MATCH(TRUE(),INDEX(ISNUMBER(SEARCH(Ангилал!$B$5:$B$22,$G34&amp;" "&amp;$E34))+ISNUMBER(SEARCH(Ангилал!$C$5:$C$22,$G34&amp;" "&amp;$E34))+IF(Ангилал!$D$5:$D$22="",0,ISNUMBER(SEARCH(Ангилал!$D$5:$D$22,$G34&amp;" "&amp;$E34)))+IF(Ангилал!$E$5:$E$22="",0,ISNUMBER(SEARCH(Ангилал!$E$5:$E$22,$G34&amp;" "&amp;$E34)))&gt;0,0),0)),"Бусад"))</f>
        <v>Амьд явах, халдашгүй байх эрх</v>
      </c>
      <c r="M34" s="2"/>
      <c r="N34" s="2" t="str">
        <f aca="false">IF($G34="","",IF($M34&lt;&gt;"",$M34,$L34))</f>
        <v>Амьд явах, халдашгүй байх эрх</v>
      </c>
      <c r="O34" s="2" t="str">
        <f aca="false" t="array" ref="O34:O34">IF($G34="","",IFERROR(INDEX(Ангилал!$G$5:$G$16,MATCH(TRUE(),INDEX(ISNUMBER(SEARCH(Ангилал!$H$5:$H$16,$G34&amp;" "&amp;$E34))+ISNUMBER(SEARCH(Ангилал!$I$5:$I$16,$G34&amp;" "&amp;$E34))+ISNUMBER(SEARCH(Ангилал!$J$5:$J$16,$G34&amp;" "&amp;$E34))+ISNUMBER(SEARCH(Ангилал!$K$5:$K$16,$G34&amp;" "&amp;$E34))&gt;0,0),0)),"Ерөнхий нийт"))</f>
        <v>Ерөнхий нийт</v>
      </c>
      <c r="P34" s="2"/>
      <c r="Q34" s="2" t="str">
        <f aca="false">IF($G34="","",IF($P34&lt;&gt;"",$P34,$O34))</f>
        <v>Ерөнхий нийт</v>
      </c>
    </row>
    <row r="35" customFormat="false" ht="101.25" hidden="false" customHeight="true" outlineLevel="0" collapsed="false">
      <c r="A35" s="9" t="n">
        <v>28</v>
      </c>
      <c r="B35" s="10" t="s">
        <v>153</v>
      </c>
      <c r="C35" s="10" t="s">
        <v>337</v>
      </c>
      <c r="D35" s="10" t="s">
        <v>1189</v>
      </c>
      <c r="E35" s="10" t="s">
        <v>1190</v>
      </c>
      <c r="F35" s="10" t="s">
        <v>1160</v>
      </c>
      <c r="G35" s="10" t="s">
        <v>1191</v>
      </c>
      <c r="H35" s="10" t="s">
        <v>337</v>
      </c>
      <c r="I35" s="10" t="s">
        <v>1047</v>
      </c>
      <c r="J35" s="12" t="s">
        <v>1192</v>
      </c>
      <c r="K35" s="2"/>
      <c r="L35" s="2" t="str">
        <f aca="false" t="array" ref="L35:L35">IF($G35="","",IFERROR(INDEX(Ангилал!$A$5:$A$22,MATCH(TRUE(),INDEX(ISNUMBER(SEARCH(Ангилал!$B$5:$B$22,$G35&amp;" "&amp;$E35))+ISNUMBER(SEARCH(Ангилал!$C$5:$C$22,$G35&amp;" "&amp;$E35))+IF(Ангилал!$D$5:$D$22="",0,ISNUMBER(SEARCH(Ангилал!$D$5:$D$22,$G35&amp;" "&amp;$E35)))+IF(Ангилал!$E$5:$E$22="",0,ISNUMBER(SEARCH(Ангилал!$E$5:$E$22,$G35&amp;" "&amp;$E35)))&gt;0,0),0)),"Бусад"))</f>
        <v>Эрүүл мэндийн эрх</v>
      </c>
      <c r="M35" s="2"/>
      <c r="N35" s="2" t="str">
        <f aca="false">IF($G35="","",IF($M35&lt;&gt;"",$M35,$L35))</f>
        <v>Эрүүл мэндийн эрх</v>
      </c>
      <c r="O35" s="2" t="str">
        <f aca="false" t="array" ref="O35:O35">IF($G35="","",IFERROR(INDEX(Ангилал!$G$5:$G$16,MATCH(TRUE(),INDEX(ISNUMBER(SEARCH(Ангилал!$H$5:$H$16,$G35&amp;" "&amp;$E35))+ISNUMBER(SEARCH(Ангилал!$I$5:$I$16,$G35&amp;" "&amp;$E35))+ISNUMBER(SEARCH(Ангилал!$J$5:$J$16,$G35&amp;" "&amp;$E35))+ISNUMBER(SEARCH(Ангилал!$K$5:$K$16,$G35&amp;" "&amp;$E35))&gt;0,0),0)),"Ерөнхий нийт"))</f>
        <v>Ерөнхий нийт</v>
      </c>
      <c r="P35" s="2"/>
      <c r="Q35" s="2" t="str">
        <f aca="false">IF($G35="","",IF($P35&lt;&gt;"",$P35,$O35))</f>
        <v>Ерөнхий нийт</v>
      </c>
    </row>
    <row r="36" customFormat="false" ht="72" hidden="false" customHeight="true" outlineLevel="0" collapsed="false">
      <c r="A36" s="9" t="n">
        <v>29</v>
      </c>
      <c r="B36" s="10" t="s">
        <v>153</v>
      </c>
      <c r="C36" s="10" t="s">
        <v>337</v>
      </c>
      <c r="D36" s="10" t="s">
        <v>1193</v>
      </c>
      <c r="E36" s="10" t="s">
        <v>1194</v>
      </c>
      <c r="F36" s="10" t="s">
        <v>337</v>
      </c>
      <c r="G36" s="10" t="s">
        <v>1195</v>
      </c>
      <c r="H36" s="10" t="s">
        <v>1196</v>
      </c>
      <c r="I36" s="10" t="s">
        <v>1078</v>
      </c>
      <c r="J36" s="12" t="s">
        <v>1197</v>
      </c>
      <c r="K36" s="2"/>
      <c r="L36" s="2" t="str">
        <f aca="false" t="array" ref="L36:L36">IF($G36="","",IFERROR(INDEX(Ангилал!$A$5:$A$22,MATCH(TRUE(),INDEX(ISNUMBER(SEARCH(Ангилал!$B$5:$B$22,$G36&amp;" "&amp;$E36))+ISNUMBER(SEARCH(Ангилал!$C$5:$C$22,$G36&amp;" "&amp;$E36))+IF(Ангилал!$D$5:$D$22="",0,ISNUMBER(SEARCH(Ангилал!$D$5:$D$22,$G36&amp;" "&amp;$E36)))+IF(Ангилал!$E$5:$E$22="",0,ISNUMBER(SEARCH(Ангилал!$E$5:$E$22,$G36&amp;" "&amp;$E36)))&gt;0,0),0)),"Бусад"))</f>
        <v>Бусад</v>
      </c>
      <c r="M36" s="2"/>
      <c r="N36" s="2" t="str">
        <f aca="false">IF($G36="","",IF($M36&lt;&gt;"",$M36,$L36))</f>
        <v>Бусад</v>
      </c>
      <c r="O36" s="2" t="str">
        <f aca="false" t="array" ref="O36:O36">IF($G36="","",IFERROR(INDEX(Ангилал!$G$5:$G$16,MATCH(TRUE(),INDEX(ISNUMBER(SEARCH(Ангилал!$H$5:$H$16,$G36&amp;" "&amp;$E36))+ISNUMBER(SEARCH(Ангилал!$I$5:$I$16,$G36&amp;" "&amp;$E36))+ISNUMBER(SEARCH(Ангилал!$J$5:$J$16,$G36&amp;" "&amp;$E36))+ISNUMBER(SEARCH(Ангилал!$K$5:$K$16,$G36&amp;" "&amp;$E36))&gt;0,0),0)),"Ерөнхий нийт"))</f>
        <v>Цөөнх, үндэстэн ястан</v>
      </c>
      <c r="P36" s="2"/>
      <c r="Q36" s="2" t="str">
        <f aca="false">IF($G36="","",IF($P36&lt;&gt;"",$P36,$O36))</f>
        <v>Цөөнх, үндэстэн ястан</v>
      </c>
    </row>
    <row r="37" customFormat="false" ht="115.5" hidden="false" customHeight="true" outlineLevel="0" collapsed="false">
      <c r="A37" s="9" t="n">
        <v>30</v>
      </c>
      <c r="B37" s="10" t="s">
        <v>1198</v>
      </c>
      <c r="C37" s="10" t="s">
        <v>337</v>
      </c>
      <c r="D37" s="10" t="s">
        <v>1199</v>
      </c>
      <c r="E37" s="10" t="s">
        <v>1200</v>
      </c>
      <c r="F37" s="10" t="s">
        <v>1160</v>
      </c>
      <c r="G37" s="10" t="s">
        <v>1201</v>
      </c>
      <c r="H37" s="10" t="s">
        <v>337</v>
      </c>
      <c r="I37" s="10" t="s">
        <v>1047</v>
      </c>
      <c r="J37" s="12" t="s">
        <v>1202</v>
      </c>
      <c r="K37" s="2"/>
      <c r="L37" s="2" t="str">
        <f aca="false" t="array" ref="L37:L37">IF($G37="","",IFERROR(INDEX(Ангилал!$A$5:$A$22,MATCH(TRUE(),INDEX(ISNUMBER(SEARCH(Ангилал!$B$5:$B$22,$G37&amp;" "&amp;$E37))+ISNUMBER(SEARCH(Ангилал!$C$5:$C$22,$G37&amp;" "&amp;$E37))+IF(Ангилал!$D$5:$D$22="",0,ISNUMBER(SEARCH(Ангилал!$D$5:$D$22,$G37&amp;" "&amp;$E37)))+IF(Ангилал!$E$5:$E$22="",0,ISNUMBER(SEARCH(Ангилал!$E$5:$E$22,$G37&amp;" "&amp;$E37)))&gt;0,0),0)),"Бусад"))</f>
        <v>Эрүүл мэндийн эрх</v>
      </c>
      <c r="M37" s="2"/>
      <c r="N37" s="2" t="str">
        <f aca="false">IF($G37="","",IF($M37&lt;&gt;"",$M37,$L37))</f>
        <v>Эрүүл мэндийн эрх</v>
      </c>
      <c r="O37" s="2" t="str">
        <f aca="false" t="array" ref="O37:O37">IF($G37="","",IFERROR(INDEX(Ангилал!$G$5:$G$16,MATCH(TRUE(),INDEX(ISNUMBER(SEARCH(Ангилал!$H$5:$H$16,$G37&amp;" "&amp;$E37))+ISNUMBER(SEARCH(Ангилал!$I$5:$I$16,$G37&amp;" "&amp;$E37))+ISNUMBER(SEARCH(Ангилал!$J$5:$J$16,$G37&amp;" "&amp;$E37))+ISNUMBER(SEARCH(Ангилал!$K$5:$K$16,$G37&amp;" "&amp;$E37))&gt;0,0),0)),"Ерөнхий нийт"))</f>
        <v>Ерөнхий нийт</v>
      </c>
      <c r="P37" s="2"/>
      <c r="Q37" s="2" t="str">
        <f aca="false">IF($G37="","",IF($P37&lt;&gt;"",$P37,$O37))</f>
        <v>Ерөнхий нийт</v>
      </c>
    </row>
    <row r="38" customFormat="false" ht="57.75" hidden="false" customHeight="true" outlineLevel="0" collapsed="false">
      <c r="A38" s="9" t="n">
        <v>31</v>
      </c>
      <c r="B38" s="10" t="s">
        <v>168</v>
      </c>
      <c r="C38" s="10" t="s">
        <v>337</v>
      </c>
      <c r="D38" s="10" t="s">
        <v>1203</v>
      </c>
      <c r="E38" s="10" t="s">
        <v>1204</v>
      </c>
      <c r="F38" s="10" t="s">
        <v>1160</v>
      </c>
      <c r="G38" s="10" t="s">
        <v>1205</v>
      </c>
      <c r="H38" s="10" t="s">
        <v>337</v>
      </c>
      <c r="I38" s="10" t="s">
        <v>1047</v>
      </c>
      <c r="J38" s="12" t="s">
        <v>1206</v>
      </c>
      <c r="K38" s="2"/>
      <c r="L38" s="2" t="str">
        <f aca="false" t="array" ref="L38:L38">IF($G38="","",IFERROR(INDEX(Ангилал!$A$5:$A$22,MATCH(TRUE(),INDEX(ISNUMBER(SEARCH(Ангилал!$B$5:$B$22,$G38&amp;" "&amp;$E38))+ISNUMBER(SEARCH(Ангилал!$C$5:$C$22,$G38&amp;" "&amp;$E38))+IF(Ангилал!$D$5:$D$22="",0,ISNUMBER(SEARCH(Ангилал!$D$5:$D$22,$G38&amp;" "&amp;$E38)))+IF(Ангилал!$E$5:$E$22="",0,ISNUMBER(SEARCH(Ангилал!$E$5:$E$22,$G38&amp;" "&amp;$E38)))&gt;0,0),0)),"Бусад"))</f>
        <v>Эрүүл мэндийн эрх</v>
      </c>
      <c r="M38" s="2"/>
      <c r="N38" s="2" t="str">
        <f aca="false">IF($G38="","",IF($M38&lt;&gt;"",$M38,$L38))</f>
        <v>Эрүүл мэндийн эрх</v>
      </c>
      <c r="O38" s="2" t="str">
        <f aca="false" t="array" ref="O38:O38">IF($G38="","",IFERROR(INDEX(Ангилал!$G$5:$G$16,MATCH(TRUE(),INDEX(ISNUMBER(SEARCH(Ангилал!$H$5:$H$16,$G38&amp;" "&amp;$E38))+ISNUMBER(SEARCH(Ангилал!$I$5:$I$16,$G38&amp;" "&amp;$E38))+ISNUMBER(SEARCH(Ангилал!$J$5:$J$16,$G38&amp;" "&amp;$E38))+ISNUMBER(SEARCH(Ангилал!$K$5:$K$16,$G38&amp;" "&amp;$E38))&gt;0,0),0)),"Ерөнхий нийт"))</f>
        <v>Ерөнхий нийт</v>
      </c>
      <c r="P38" s="2"/>
      <c r="Q38" s="2" t="str">
        <f aca="false">IF($G38="","",IF($P38&lt;&gt;"",$P38,$O38))</f>
        <v>Ерөнхий нийт</v>
      </c>
    </row>
    <row r="39" customFormat="false" ht="72" hidden="false" customHeight="true" outlineLevel="0" collapsed="false">
      <c r="A39" s="9" t="n">
        <v>32</v>
      </c>
      <c r="B39" s="10" t="s">
        <v>1198</v>
      </c>
      <c r="C39" s="10" t="s">
        <v>337</v>
      </c>
      <c r="D39" s="10" t="s">
        <v>1207</v>
      </c>
      <c r="E39" s="10" t="s">
        <v>1208</v>
      </c>
      <c r="F39" s="10" t="s">
        <v>1209</v>
      </c>
      <c r="G39" s="10" t="s">
        <v>1210</v>
      </c>
      <c r="H39" s="10" t="s">
        <v>1211</v>
      </c>
      <c r="I39" s="10" t="s">
        <v>1212</v>
      </c>
      <c r="J39" s="12" t="s">
        <v>1213</v>
      </c>
      <c r="K39" s="2"/>
      <c r="L39" s="2" t="str">
        <f aca="false" t="array" ref="L39:L39">IF($G39="","",IFERROR(INDEX(Ангилал!$A$5:$A$22,MATCH(TRUE(),INDEX(ISNUMBER(SEARCH(Ангилал!$B$5:$B$22,$G39&amp;" "&amp;$E39))+ISNUMBER(SEARCH(Ангилал!$C$5:$C$22,$G39&amp;" "&amp;$E39))+IF(Ангилал!$D$5:$D$22="",0,ISNUMBER(SEARCH(Ангилал!$D$5:$D$22,$G39&amp;" "&amp;$E39)))+IF(Ангилал!$E$5:$E$22="",0,ISNUMBER(SEARCH(Ангилал!$E$5:$E$22,$G39&amp;" "&amp;$E39)))&gt;0,0),0)),"Бусад"))</f>
        <v>Үзэл бодлоо илэрхийлэх, мэдээллийн эрх</v>
      </c>
      <c r="M39" s="2"/>
      <c r="N39" s="2" t="str">
        <f aca="false">IF($G39="","",IF($M39&lt;&gt;"",$M39,$L39))</f>
        <v>Үзэл бодлоо илэрхийлэх, мэдээллийн эрх</v>
      </c>
      <c r="O39" s="2" t="str">
        <f aca="false" t="array" ref="O39:O39">IF($G39="","",IFERROR(INDEX(Ангилал!$G$5:$G$16,MATCH(TRUE(),INDEX(ISNUMBER(SEARCH(Ангилал!$H$5:$H$16,$G39&amp;" "&amp;$E39))+ISNUMBER(SEARCH(Ангилал!$I$5:$I$16,$G39&amp;" "&amp;$E39))+ISNUMBER(SEARCH(Ангилал!$J$5:$J$16,$G39&amp;" "&amp;$E39))+ISNUMBER(SEARCH(Ангилал!$K$5:$K$16,$G39&amp;" "&amp;$E39))&gt;0,0),0)),"Ерөнхий нийт"))</f>
        <v>Ерөнхий нийт</v>
      </c>
      <c r="P39" s="2"/>
      <c r="Q39" s="2" t="str">
        <f aca="false">IF($G39="","",IF($P39&lt;&gt;"",$P39,$O39))</f>
        <v>Ерөнхий нийт</v>
      </c>
    </row>
    <row r="40" customFormat="false" ht="86.25" hidden="false" customHeight="true" outlineLevel="0" collapsed="false">
      <c r="A40" s="9" t="n">
        <v>33</v>
      </c>
      <c r="B40" s="10" t="s">
        <v>168</v>
      </c>
      <c r="C40" s="10" t="s">
        <v>1198</v>
      </c>
      <c r="D40" s="10" t="s">
        <v>1214</v>
      </c>
      <c r="E40" s="10" t="s">
        <v>1215</v>
      </c>
      <c r="F40" s="10" t="s">
        <v>1152</v>
      </c>
      <c r="G40" s="10" t="s">
        <v>1045</v>
      </c>
      <c r="H40" s="10" t="s">
        <v>1093</v>
      </c>
      <c r="I40" s="10" t="s">
        <v>1180</v>
      </c>
      <c r="J40" s="12" t="s">
        <v>1216</v>
      </c>
      <c r="K40" s="2"/>
      <c r="L40" s="2" t="str">
        <f aca="false" t="array" ref="L40:L40">IF($G40="","",IFERROR(INDEX(Ангилал!$A$5:$A$22,MATCH(TRUE(),INDEX(ISNUMBER(SEARCH(Ангилал!$B$5:$B$22,$G40&amp;" "&amp;$E40))+ISNUMBER(SEARCH(Ангилал!$C$5:$C$22,$G40&amp;" "&amp;$E40))+IF(Ангилал!$D$5:$D$22="",0,ISNUMBER(SEARCH(Ангилал!$D$5:$D$22,$G40&amp;" "&amp;$E40)))+IF(Ангилал!$E$5:$E$22="",0,ISNUMBER(SEARCH(Ангилал!$E$5:$E$22,$G40&amp;" "&amp;$E40)))&gt;0,0),0)),"Бусад"))</f>
        <v>Амьд явах, халдашгүй байх эрх</v>
      </c>
      <c r="M40" s="2"/>
      <c r="N40" s="2" t="str">
        <f aca="false">IF($G40="","",IF($M40&lt;&gt;"",$M40,$L40))</f>
        <v>Амьд явах, халдашгүй байх эрх</v>
      </c>
      <c r="O40" s="2" t="str">
        <f aca="false" t="array" ref="O40:O40">IF($G40="","",IFERROR(INDEX(Ангилал!$G$5:$G$16,MATCH(TRUE(),INDEX(ISNUMBER(SEARCH(Ангилал!$H$5:$H$16,$G40&amp;" "&amp;$E40))+ISNUMBER(SEARCH(Ангилал!$I$5:$I$16,$G40&amp;" "&amp;$E40))+ISNUMBER(SEARCH(Ангилал!$J$5:$J$16,$G40&amp;" "&amp;$E40))+ISNUMBER(SEARCH(Ангилал!$K$5:$K$16,$G40&amp;" "&amp;$E40))&gt;0,0),0)),"Ерөнхий нийт"))</f>
        <v>Ерөнхий нийт</v>
      </c>
      <c r="P40" s="2"/>
      <c r="Q40" s="2" t="str">
        <f aca="false">IF($G40="","",IF($P40&lt;&gt;"",$P40,$O40))</f>
        <v>Ерөнхий нийт</v>
      </c>
    </row>
    <row r="41" customFormat="false" ht="115.5" hidden="false" customHeight="true" outlineLevel="0" collapsed="false">
      <c r="A41" s="9" t="n">
        <v>34</v>
      </c>
      <c r="B41" s="10" t="s">
        <v>177</v>
      </c>
      <c r="C41" s="10" t="s">
        <v>337</v>
      </c>
      <c r="D41" s="10" t="s">
        <v>1217</v>
      </c>
      <c r="E41" s="10" t="s">
        <v>1218</v>
      </c>
      <c r="F41" s="10" t="s">
        <v>337</v>
      </c>
      <c r="G41" s="10" t="s">
        <v>1146</v>
      </c>
      <c r="H41" s="10" t="s">
        <v>337</v>
      </c>
      <c r="I41" s="10" t="s">
        <v>1078</v>
      </c>
      <c r="J41" s="12" t="s">
        <v>1219</v>
      </c>
      <c r="K41" s="2"/>
      <c r="L41" s="2" t="str">
        <f aca="false" t="array" ref="L41:L41">IF($G41="","",IFERROR(INDEX(Ангилал!$A$5:$A$22,MATCH(TRUE(),INDEX(ISNUMBER(SEARCH(Ангилал!$B$5:$B$22,$G41&amp;" "&amp;$E41))+ISNUMBER(SEARCH(Ангилал!$C$5:$C$22,$G41&amp;" "&amp;$E41))+IF(Ангилал!$D$5:$D$22="",0,ISNUMBER(SEARCH(Ангилал!$D$5:$D$22,$G41&amp;" "&amp;$E41)))+IF(Ангилал!$E$5:$E$22="",0,ISNUMBER(SEARCH(Ангилал!$E$5:$E$22,$G41&amp;" "&amp;$E41)))&gt;0,0),0)),"Бусад"))</f>
        <v>Ялгаварлан гадуурхалтаас ангид байх, тэгш эрх</v>
      </c>
      <c r="M41" s="2"/>
      <c r="N41" s="2" t="str">
        <f aca="false">IF($G41="","",IF($M41&lt;&gt;"",$M41,$L41))</f>
        <v>Ялгаварлан гадуурхалтаас ангид байх, тэгш эрх</v>
      </c>
      <c r="O41" s="2" t="str">
        <f aca="false" t="array" ref="O41:O41">IF($G41="","",IFERROR(INDEX(Ангилал!$G$5:$G$16,MATCH(TRUE(),INDEX(ISNUMBER(SEARCH(Ангилал!$H$5:$H$16,$G41&amp;" "&amp;$E41))+ISNUMBER(SEARCH(Ангилал!$I$5:$I$16,$G41&amp;" "&amp;$E41))+ISNUMBER(SEARCH(Ангилал!$J$5:$J$16,$G41&amp;" "&amp;$E41))+ISNUMBER(SEARCH(Ангилал!$K$5:$K$16,$G41&amp;" "&amp;$E41))&gt;0,0),0)),"Ерөнхий нийт"))</f>
        <v>Эмэгтэйчүүд</v>
      </c>
      <c r="P41" s="2"/>
      <c r="Q41" s="2" t="str">
        <f aca="false">IF($G41="","",IF($P41&lt;&gt;"",$P41,$O41))</f>
        <v>Эмэгтэйчүүд</v>
      </c>
    </row>
    <row r="42" customFormat="false" ht="24" hidden="false" customHeight="true" outlineLevel="0" collapsed="false">
      <c r="A42" s="13" t="s">
        <v>1220</v>
      </c>
      <c r="B42" s="13"/>
      <c r="C42" s="13"/>
      <c r="D42" s="13"/>
      <c r="E42" s="13"/>
      <c r="F42" s="13"/>
      <c r="G42" s="13"/>
      <c r="H42" s="13"/>
      <c r="I42" s="13"/>
      <c r="J42" s="13"/>
      <c r="K42" s="2"/>
      <c r="L42" s="2" t="str">
        <f aca="false" t="array" ref="L42:L42">IF($G42="","",IFERROR(INDEX(Ангилал!$A$5:$A$22,MATCH(TRUE(),INDEX(ISNUMBER(SEARCH(Ангилал!$B$5:$B$22,$G42&amp;" "&amp;$E42))+ISNUMBER(SEARCH(Ангилал!$C$5:$C$22,$G42&amp;" "&amp;$E42))+IF(Ангилал!$D$5:$D$22="",0,ISNUMBER(SEARCH(Ангилал!$D$5:$D$22,$G42&amp;" "&amp;$E42)))+IF(Ангилал!$E$5:$E$22="",0,ISNUMBER(SEARCH(Ангилал!$E$5:$E$22,$G42&amp;" "&amp;$E42)))&gt;0,0),0)),"Бусад"))</f>
        <v/>
      </c>
      <c r="M42" s="2"/>
      <c r="N42" s="2" t="str">
        <f aca="false">IF($G42="","",IF($M42&lt;&gt;"",$M42,$L42))</f>
        <v/>
      </c>
      <c r="O42" s="2" t="str">
        <f aca="false" t="array" ref="O42:O42">IF($G42="","",IFERROR(INDEX(Ангилал!$G$5:$G$16,MATCH(TRUE(),INDEX(ISNUMBER(SEARCH(Ангилал!$H$5:$H$16,$G42&amp;" "&amp;$E42))+ISNUMBER(SEARCH(Ангилал!$I$5:$I$16,$G42&amp;" "&amp;$E42))+ISNUMBER(SEARCH(Ангилал!$J$5:$J$16,$G42&amp;" "&amp;$E42))+ISNUMBER(SEARCH(Ангилал!$K$5:$K$16,$G42&amp;" "&amp;$E42))&gt;0,0),0)),"Ерөнхий нийт"))</f>
        <v/>
      </c>
      <c r="P42" s="2"/>
      <c r="Q42" s="2" t="str">
        <f aca="false">IF($G42="","",IF($P42&lt;&gt;"",$P42,$O42))</f>
        <v/>
      </c>
    </row>
    <row r="43" customFormat="false" ht="159" hidden="false" customHeight="true" outlineLevel="0" collapsed="false">
      <c r="A43" s="9" t="n">
        <v>35</v>
      </c>
      <c r="B43" s="10" t="s">
        <v>1221</v>
      </c>
      <c r="C43" s="10" t="s">
        <v>337</v>
      </c>
      <c r="D43" s="10" t="s">
        <v>1222</v>
      </c>
      <c r="E43" s="10" t="s">
        <v>1223</v>
      </c>
      <c r="F43" s="10" t="s">
        <v>1224</v>
      </c>
      <c r="G43" s="10" t="s">
        <v>1045</v>
      </c>
      <c r="H43" s="10" t="s">
        <v>337</v>
      </c>
      <c r="I43" s="10" t="s">
        <v>1078</v>
      </c>
      <c r="J43" s="12" t="s">
        <v>1225</v>
      </c>
      <c r="K43" s="2"/>
      <c r="L43" s="2" t="str">
        <f aca="false" t="array" ref="L43:L43">IF($G43="","",IFERROR(INDEX(Ангилал!$A$5:$A$22,MATCH(TRUE(),INDEX(ISNUMBER(SEARCH(Ангилал!$B$5:$B$22,$G43&amp;" "&amp;$E43))+ISNUMBER(SEARCH(Ангилал!$C$5:$C$22,$G43&amp;" "&amp;$E43))+IF(Ангилал!$D$5:$D$22="",0,ISNUMBER(SEARCH(Ангилал!$D$5:$D$22,$G43&amp;" "&amp;$E43)))+IF(Ангилал!$E$5:$E$22="",0,ISNUMBER(SEARCH(Ангилал!$E$5:$E$22,$G43&amp;" "&amp;$E43)))&gt;0,0),0)),"Бусад"))</f>
        <v>Амьд явах, халдашгүй байх эрх</v>
      </c>
      <c r="M43" s="2"/>
      <c r="N43" s="2" t="str">
        <f aca="false">IF($G43="","",IF($M43&lt;&gt;"",$M43,$L43))</f>
        <v>Амьд явах, халдашгүй байх эрх</v>
      </c>
      <c r="O43" s="2" t="str">
        <f aca="false" t="array" ref="O43:O43">IF($G43="","",IFERROR(INDEX(Ангилал!$G$5:$G$16,MATCH(TRUE(),INDEX(ISNUMBER(SEARCH(Ангилал!$H$5:$H$16,$G43&amp;" "&amp;$E43))+ISNUMBER(SEARCH(Ангилал!$I$5:$I$16,$G43&amp;" "&amp;$E43))+ISNUMBER(SEARCH(Ангилал!$J$5:$J$16,$G43&amp;" "&amp;$E43))+ISNUMBER(SEARCH(Ангилал!$K$5:$K$16,$G43&amp;" "&amp;$E43))&gt;0,0),0)),"Ерөнхий нийт"))</f>
        <v>Эмэгтэйчүүд</v>
      </c>
      <c r="P43" s="2"/>
      <c r="Q43" s="2" t="str">
        <f aca="false">IF($G43="","",IF($P43&lt;&gt;"",$P43,$O43))</f>
        <v>Эмэгтэйчүүд</v>
      </c>
    </row>
    <row r="44" customFormat="false" ht="72" hidden="false" customHeight="true" outlineLevel="0" collapsed="false">
      <c r="A44" s="9" t="n">
        <v>36</v>
      </c>
      <c r="B44" s="10" t="s">
        <v>1226</v>
      </c>
      <c r="C44" s="10" t="s">
        <v>337</v>
      </c>
      <c r="D44" s="10" t="s">
        <v>1227</v>
      </c>
      <c r="E44" s="10" t="s">
        <v>1228</v>
      </c>
      <c r="F44" s="10" t="s">
        <v>43</v>
      </c>
      <c r="G44" s="10" t="s">
        <v>1229</v>
      </c>
      <c r="H44" s="10" t="s">
        <v>337</v>
      </c>
      <c r="I44" s="10" t="s">
        <v>1047</v>
      </c>
      <c r="J44" s="12" t="s">
        <v>1230</v>
      </c>
      <c r="K44" s="2"/>
      <c r="L44" s="2" t="str">
        <f aca="false" t="array" ref="L44:L44">IF($G44="","",IFERROR(INDEX(Ангилал!$A$5:$A$22,MATCH(TRUE(),INDEX(ISNUMBER(SEARCH(Ангилал!$B$5:$B$22,$G44&amp;" "&amp;$E44))+ISNUMBER(SEARCH(Ангилал!$C$5:$C$22,$G44&amp;" "&amp;$E44))+IF(Ангилал!$D$5:$D$22="",0,ISNUMBER(SEARCH(Ангилал!$D$5:$D$22,$G44&amp;" "&amp;$E44)))+IF(Ангилал!$E$5:$E$22="",0,ISNUMBER(SEARCH(Ангилал!$E$5:$E$22,$G44&amp;" "&amp;$E44)))&gt;0,0),0)),"Бусад"))</f>
        <v>Бусад</v>
      </c>
      <c r="M44" s="2"/>
      <c r="N44" s="2" t="str">
        <f aca="false">IF($G44="","",IF($M44&lt;&gt;"",$M44,$L44))</f>
        <v>Бусад</v>
      </c>
      <c r="O44" s="2" t="str">
        <f aca="false" t="array" ref="O44:O44">IF($G44="","",IFERROR(INDEX(Ангилал!$G$5:$G$16,MATCH(TRUE(),INDEX(ISNUMBER(SEARCH(Ангилал!$H$5:$H$16,$G44&amp;" "&amp;$E44))+ISNUMBER(SEARCH(Ангилал!$I$5:$I$16,$G44&amp;" "&amp;$E44))+ISNUMBER(SEARCH(Ангилал!$J$5:$J$16,$G44&amp;" "&amp;$E44))+ISNUMBER(SEARCH(Ангилал!$K$5:$K$16,$G44&amp;" "&amp;$E44))&gt;0,0),0)),"Ерөнхий нийт"))</f>
        <v>Ерөнхий нийт</v>
      </c>
      <c r="P44" s="2"/>
      <c r="Q44" s="2" t="str">
        <f aca="false">IF($G44="","",IF($P44&lt;&gt;"",$P44,$O44))</f>
        <v>Ерөнхий нийт</v>
      </c>
    </row>
    <row r="45" customFormat="false" ht="101.25" hidden="false" customHeight="true" outlineLevel="0" collapsed="false">
      <c r="A45" s="9" t="n">
        <v>37</v>
      </c>
      <c r="B45" s="10" t="s">
        <v>188</v>
      </c>
      <c r="C45" s="10" t="s">
        <v>337</v>
      </c>
      <c r="D45" s="10" t="s">
        <v>1231</v>
      </c>
      <c r="E45" s="10" t="s">
        <v>1232</v>
      </c>
      <c r="F45" s="10" t="s">
        <v>1233</v>
      </c>
      <c r="G45" s="10" t="s">
        <v>1234</v>
      </c>
      <c r="H45" s="10" t="s">
        <v>337</v>
      </c>
      <c r="I45" s="10" t="s">
        <v>1078</v>
      </c>
      <c r="J45" s="12" t="s">
        <v>1235</v>
      </c>
      <c r="K45" s="2"/>
      <c r="L45" s="2" t="str">
        <f aca="false" t="array" ref="L45:L45">IF($G45="","",IFERROR(INDEX(Ангилал!$A$5:$A$22,MATCH(TRUE(),INDEX(ISNUMBER(SEARCH(Ангилал!$B$5:$B$22,$G45&amp;" "&amp;$E45))+ISNUMBER(SEARCH(Ангилал!$C$5:$C$22,$G45&amp;" "&amp;$E45))+IF(Ангилал!$D$5:$D$22="",0,ISNUMBER(SEARCH(Ангилал!$D$5:$D$22,$G45&amp;" "&amp;$E45)))+IF(Ангилал!$E$5:$E$22="",0,ISNUMBER(SEARCH(Ангилал!$E$5:$E$22,$G45&amp;" "&amp;$E45)))&gt;0,0),0)),"Бусад"))</f>
        <v>Амьд явах, халдашгүй байх эрх</v>
      </c>
      <c r="M45" s="2"/>
      <c r="N45" s="2" t="str">
        <f aca="false">IF($G45="","",IF($M45&lt;&gt;"",$M45,$L45))</f>
        <v>Амьд явах, халдашгүй байх эрх</v>
      </c>
      <c r="O45" s="2" t="str">
        <f aca="false" t="array" ref="O45:O45">IF($G45="","",IFERROR(INDEX(Ангилал!$G$5:$G$16,MATCH(TRUE(),INDEX(ISNUMBER(SEARCH(Ангилал!$H$5:$H$16,$G45&amp;" "&amp;$E45))+ISNUMBER(SEARCH(Ангилал!$I$5:$I$16,$G45&amp;" "&amp;$E45))+ISNUMBER(SEARCH(Ангилал!$J$5:$J$16,$G45&amp;" "&amp;$E45))+ISNUMBER(SEARCH(Ангилал!$K$5:$K$16,$G45&amp;" "&amp;$E45))&gt;0,0),0)),"Ерөнхий нийт"))</f>
        <v>Ерөнхий нийт</v>
      </c>
      <c r="P45" s="2"/>
      <c r="Q45" s="2" t="str">
        <f aca="false">IF($G45="","",IF($P45&lt;&gt;"",$P45,$O45))</f>
        <v>Ерөнхий нийт</v>
      </c>
    </row>
    <row r="46" customFormat="false" ht="72" hidden="false" customHeight="true" outlineLevel="0" collapsed="false">
      <c r="A46" s="9" t="n">
        <v>38</v>
      </c>
      <c r="B46" s="10" t="s">
        <v>188</v>
      </c>
      <c r="C46" s="10" t="s">
        <v>337</v>
      </c>
      <c r="D46" s="10" t="s">
        <v>1236</v>
      </c>
      <c r="E46" s="10" t="s">
        <v>1237</v>
      </c>
      <c r="F46" s="10" t="s">
        <v>337</v>
      </c>
      <c r="G46" s="10" t="s">
        <v>1238</v>
      </c>
      <c r="H46" s="10" t="s">
        <v>337</v>
      </c>
      <c r="I46" s="10" t="s">
        <v>1047</v>
      </c>
      <c r="J46" s="12" t="s">
        <v>1239</v>
      </c>
      <c r="K46" s="2"/>
      <c r="L46" s="2" t="str">
        <f aca="false" t="array" ref="L46:L46">IF($G46="","",IFERROR(INDEX(Ангилал!$A$5:$A$22,MATCH(TRUE(),INDEX(ISNUMBER(SEARCH(Ангилал!$B$5:$B$22,$G46&amp;" "&amp;$E46))+ISNUMBER(SEARCH(Ангилал!$C$5:$C$22,$G46&amp;" "&amp;$E46))+IF(Ангилал!$D$5:$D$22="",0,ISNUMBER(SEARCH(Ангилал!$D$5:$D$22,$G46&amp;" "&amp;$E46)))+IF(Ангилал!$E$5:$E$22="",0,ISNUMBER(SEARCH(Ангилал!$E$5:$E$22,$G46&amp;" "&amp;$E46)))&gt;0,0),0)),"Бусад"))</f>
        <v>Хүүхдийн эрх</v>
      </c>
      <c r="M46" s="2"/>
      <c r="N46" s="2" t="str">
        <f aca="false">IF($G46="","",IF($M46&lt;&gt;"",$M46,$L46))</f>
        <v>Хүүхдийн эрх</v>
      </c>
      <c r="O46" s="2" t="str">
        <f aca="false" t="array" ref="O46:O46">IF($G46="","",IFERROR(INDEX(Ангилал!$G$5:$G$16,MATCH(TRUE(),INDEX(ISNUMBER(SEARCH(Ангилал!$H$5:$H$16,$G46&amp;" "&amp;$E46))+ISNUMBER(SEARCH(Ангилал!$I$5:$I$16,$G46&amp;" "&amp;$E46))+ISNUMBER(SEARCH(Ангилал!$J$5:$J$16,$G46&amp;" "&amp;$E46))+ISNUMBER(SEARCH(Ангилал!$K$5:$K$16,$G46&amp;" "&amp;$E46))&gt;0,0),0)),"Ерөнхий нийт"))</f>
        <v>Хүүхэд</v>
      </c>
      <c r="P46" s="2"/>
      <c r="Q46" s="2" t="str">
        <f aca="false">IF($G46="","",IF($P46&lt;&gt;"",$P46,$O46))</f>
        <v>Хүүхэд</v>
      </c>
    </row>
    <row r="47" customFormat="false" ht="144" hidden="false" customHeight="true" outlineLevel="0" collapsed="false">
      <c r="A47" s="9" t="n">
        <v>39</v>
      </c>
      <c r="B47" s="10" t="s">
        <v>188</v>
      </c>
      <c r="C47" s="10" t="s">
        <v>337</v>
      </c>
      <c r="D47" s="10" t="s">
        <v>1240</v>
      </c>
      <c r="E47" s="10" t="s">
        <v>1241</v>
      </c>
      <c r="F47" s="10" t="s">
        <v>337</v>
      </c>
      <c r="G47" s="10" t="s">
        <v>337</v>
      </c>
      <c r="H47" s="10" t="s">
        <v>337</v>
      </c>
      <c r="I47" s="10" t="s">
        <v>1047</v>
      </c>
      <c r="J47" s="12" t="s">
        <v>1242</v>
      </c>
      <c r="K47" s="2"/>
      <c r="L47" s="2" t="str">
        <f aca="false" t="array" ref="L47:L47">IF($G47="","",IFERROR(INDEX(Ангилал!$A$5:$A$22,MATCH(TRUE(),INDEX(ISNUMBER(SEARCH(Ангилал!$B$5:$B$22,$G47&amp;" "&amp;$E47))+ISNUMBER(SEARCH(Ангилал!$C$5:$C$22,$G47&amp;" "&amp;$E47))+IF(Ангилал!$D$5:$D$22="",0,ISNUMBER(SEARCH(Ангилал!$D$5:$D$22,$G47&amp;" "&amp;$E47)))+IF(Ангилал!$E$5:$E$22="",0,ISNUMBER(SEARCH(Ангилал!$E$5:$E$22,$G47&amp;" "&amp;$E47)))&gt;0,0),0)),"Бусад"))</f>
        <v>Амьд явах, халдашгүй байх эрх</v>
      </c>
      <c r="M47" s="2"/>
      <c r="N47" s="2" t="str">
        <f aca="false">IF($G47="","",IF($M47&lt;&gt;"",$M47,$L47))</f>
        <v>Амьд явах, халдашгүй байх эрх</v>
      </c>
      <c r="O47" s="2" t="str">
        <f aca="false" t="array" ref="O47:O47">IF($G47="","",IFERROR(INDEX(Ангилал!$G$5:$G$16,MATCH(TRUE(),INDEX(ISNUMBER(SEARCH(Ангилал!$H$5:$H$16,$G47&amp;" "&amp;$E47))+ISNUMBER(SEARCH(Ангилал!$I$5:$I$16,$G47&amp;" "&amp;$E47))+ISNUMBER(SEARCH(Ангилал!$J$5:$J$16,$G47&amp;" "&amp;$E47))+ISNUMBER(SEARCH(Ангилал!$K$5:$K$16,$G47&amp;" "&amp;$E47))&gt;0,0),0)),"Ерөнхий нийт"))</f>
        <v>Эмэгтэйчүүд</v>
      </c>
      <c r="P47" s="2"/>
      <c r="Q47" s="2" t="str">
        <f aca="false">IF($G47="","",IF($P47&lt;&gt;"",$P47,$O47))</f>
        <v>Эмэгтэйчүүд</v>
      </c>
    </row>
    <row r="48" customFormat="false" ht="72" hidden="false" customHeight="true" outlineLevel="0" collapsed="false">
      <c r="A48" s="9" t="n">
        <v>40</v>
      </c>
      <c r="B48" s="10" t="s">
        <v>188</v>
      </c>
      <c r="C48" s="10" t="s">
        <v>337</v>
      </c>
      <c r="D48" s="10" t="s">
        <v>1243</v>
      </c>
      <c r="E48" s="10" t="s">
        <v>1244</v>
      </c>
      <c r="F48" s="10" t="s">
        <v>337</v>
      </c>
      <c r="G48" s="10" t="s">
        <v>1245</v>
      </c>
      <c r="H48" s="10" t="s">
        <v>337</v>
      </c>
      <c r="I48" s="10" t="s">
        <v>1246</v>
      </c>
      <c r="J48" s="12" t="s">
        <v>1247</v>
      </c>
      <c r="K48" s="2"/>
      <c r="L48" s="2" t="str">
        <f aca="false" t="array" ref="L48:L48">IF($G48="","",IFERROR(INDEX(Ангилал!$A$5:$A$22,MATCH(TRUE(),INDEX(ISNUMBER(SEARCH(Ангилал!$B$5:$B$22,$G48&amp;" "&amp;$E48))+ISNUMBER(SEARCH(Ангилал!$C$5:$C$22,$G48&amp;" "&amp;$E48))+IF(Ангилал!$D$5:$D$22="",0,ISNUMBER(SEARCH(Ангилал!$D$5:$D$22,$G48&amp;" "&amp;$E48)))+IF(Ангилал!$E$5:$E$22="",0,ISNUMBER(SEARCH(Ангилал!$E$5:$E$22,$G48&amp;" "&amp;$E48)))&gt;0,0),0)),"Бусад"))</f>
        <v>Амьд явах, халдашгүй байх эрх</v>
      </c>
      <c r="M48" s="2"/>
      <c r="N48" s="2" t="str">
        <f aca="false">IF($G48="","",IF($M48&lt;&gt;"",$M48,$L48))</f>
        <v>Амьд явах, халдашгүй байх эрх</v>
      </c>
      <c r="O48" s="2" t="str">
        <f aca="false" t="array" ref="O48:O48">IF($G48="","",IFERROR(INDEX(Ангилал!$G$5:$G$16,MATCH(TRUE(),INDEX(ISNUMBER(SEARCH(Ангилал!$H$5:$H$16,$G48&amp;" "&amp;$E48))+ISNUMBER(SEARCH(Ангилал!$I$5:$I$16,$G48&amp;" "&amp;$E48))+ISNUMBER(SEARCH(Ангилал!$J$5:$J$16,$G48&amp;" "&amp;$E48))+ISNUMBER(SEARCH(Ангилал!$K$5:$K$16,$G48&amp;" "&amp;$E48))&gt;0,0),0)),"Ерөнхий нийт"))</f>
        <v>Сэтгүүлч, хүний эрхийн хамгаалагч</v>
      </c>
      <c r="P48" s="2"/>
      <c r="Q48" s="2" t="str">
        <f aca="false">IF($G48="","",IF($P48&lt;&gt;"",$P48,$O48))</f>
        <v>Сэтгүүлч, хүний эрхийн хамгаалагч</v>
      </c>
    </row>
    <row r="49" customFormat="false" ht="43.5" hidden="false" customHeight="true" outlineLevel="0" collapsed="false">
      <c r="A49" s="9" t="n">
        <v>41</v>
      </c>
      <c r="B49" s="10" t="s">
        <v>1248</v>
      </c>
      <c r="C49" s="10" t="s">
        <v>337</v>
      </c>
      <c r="D49" s="10" t="s">
        <v>1249</v>
      </c>
      <c r="E49" s="10" t="s">
        <v>1250</v>
      </c>
      <c r="F49" s="10" t="s">
        <v>1123</v>
      </c>
      <c r="G49" s="10" t="s">
        <v>1251</v>
      </c>
      <c r="H49" s="10" t="s">
        <v>337</v>
      </c>
      <c r="I49" s="10" t="s">
        <v>1047</v>
      </c>
      <c r="J49" s="12" t="s">
        <v>1252</v>
      </c>
      <c r="K49" s="2"/>
      <c r="L49" s="2" t="str">
        <f aca="false" t="array" ref="L49:L49">IF($G49="","",IFERROR(INDEX(Ангилал!$A$5:$A$22,MATCH(TRUE(),INDEX(ISNUMBER(SEARCH(Ангилал!$B$5:$B$22,$G49&amp;" "&amp;$E49))+ISNUMBER(SEARCH(Ангилал!$C$5:$C$22,$G49&amp;" "&amp;$E49))+IF(Ангилал!$D$5:$D$22="",0,ISNUMBER(SEARCH(Ангилал!$D$5:$D$22,$G49&amp;" "&amp;$E49)))+IF(Ангилал!$E$5:$E$22="",0,ISNUMBER(SEARCH(Ангилал!$E$5:$E$22,$G49&amp;" "&amp;$E49)))&gt;0,0),0)),"Бусад"))</f>
        <v>Бусад</v>
      </c>
      <c r="M49" s="2"/>
      <c r="N49" s="2" t="str">
        <f aca="false">IF($G49="","",IF($M49&lt;&gt;"",$M49,$L49))</f>
        <v>Бусад</v>
      </c>
      <c r="O49" s="2" t="str">
        <f aca="false" t="array" ref="O49:O49">IF($G49="","",IFERROR(INDEX(Ангилал!$G$5:$G$16,MATCH(TRUE(),INDEX(ISNUMBER(SEARCH(Ангилал!$H$5:$H$16,$G49&amp;" "&amp;$E49))+ISNUMBER(SEARCH(Ангилал!$I$5:$I$16,$G49&amp;" "&amp;$E49))+ISNUMBER(SEARCH(Ангилал!$J$5:$J$16,$G49&amp;" "&amp;$E49))+ISNUMBER(SEARCH(Ангилал!$K$5:$K$16,$G49&amp;" "&amp;$E49))&gt;0,0),0)),"Ерөнхий нийт"))</f>
        <v>Ерөнхий нийт</v>
      </c>
      <c r="P49" s="2"/>
      <c r="Q49" s="2" t="str">
        <f aca="false">IF($G49="","",IF($P49&lt;&gt;"",$P49,$O49))</f>
        <v>Ерөнхий нийт</v>
      </c>
    </row>
    <row r="50" customFormat="false" ht="57.75" hidden="false" customHeight="true" outlineLevel="0" collapsed="false">
      <c r="A50" s="9" t="n">
        <v>42</v>
      </c>
      <c r="B50" s="10" t="s">
        <v>1248</v>
      </c>
      <c r="C50" s="10" t="s">
        <v>337</v>
      </c>
      <c r="D50" s="10" t="s">
        <v>1253</v>
      </c>
      <c r="E50" s="10" t="s">
        <v>1254</v>
      </c>
      <c r="F50" s="10" t="s">
        <v>337</v>
      </c>
      <c r="G50" s="10" t="s">
        <v>1245</v>
      </c>
      <c r="H50" s="10" t="s">
        <v>337</v>
      </c>
      <c r="I50" s="10" t="s">
        <v>1255</v>
      </c>
      <c r="J50" s="12" t="s">
        <v>1256</v>
      </c>
      <c r="K50" s="2"/>
      <c r="L50" s="2" t="str">
        <f aca="false" t="array" ref="L50:L50">IF($G50="","",IFERROR(INDEX(Ангилал!$A$5:$A$22,MATCH(TRUE(),INDEX(ISNUMBER(SEARCH(Ангилал!$B$5:$B$22,$G50&amp;" "&amp;$E50))+ISNUMBER(SEARCH(Ангилал!$C$5:$C$22,$G50&amp;" "&amp;$E50))+IF(Ангилал!$D$5:$D$22="",0,ISNUMBER(SEARCH(Ангилал!$D$5:$D$22,$G50&amp;" "&amp;$E50)))+IF(Ангилал!$E$5:$E$22="",0,ISNUMBER(SEARCH(Ангилал!$E$5:$E$22,$G50&amp;" "&amp;$E50)))&gt;0,0),0)),"Бусад"))</f>
        <v>Амьд явах, халдашгүй байх эрх</v>
      </c>
      <c r="M50" s="2"/>
      <c r="N50" s="2" t="str">
        <f aca="false">IF($G50="","",IF($M50&lt;&gt;"",$M50,$L50))</f>
        <v>Амьд явах, халдашгүй байх эрх</v>
      </c>
      <c r="O50" s="2" t="str">
        <f aca="false" t="array" ref="O50:O50">IF($G50="","",IFERROR(INDEX(Ангилал!$G$5:$G$16,MATCH(TRUE(),INDEX(ISNUMBER(SEARCH(Ангилал!$H$5:$H$16,$G50&amp;" "&amp;$E50))+ISNUMBER(SEARCH(Ангилал!$I$5:$I$16,$G50&amp;" "&amp;$E50))+ISNUMBER(SEARCH(Ангилал!$J$5:$J$16,$G50&amp;" "&amp;$E50))+ISNUMBER(SEARCH(Ангилал!$K$5:$K$16,$G50&amp;" "&amp;$E50))&gt;0,0),0)),"Ерөнхий нийт"))</f>
        <v>Ерөнхий нийт</v>
      </c>
      <c r="P50" s="2"/>
      <c r="Q50" s="2" t="str">
        <f aca="false">IF($G50="","",IF($P50&lt;&gt;"",$P50,$O50))</f>
        <v>Ерөнхий нийт</v>
      </c>
    </row>
    <row r="51" customFormat="false" ht="86.25" hidden="false" customHeight="true" outlineLevel="0" collapsed="false">
      <c r="A51" s="9" t="n">
        <v>43</v>
      </c>
      <c r="B51" s="10" t="s">
        <v>1248</v>
      </c>
      <c r="C51" s="10" t="s">
        <v>337</v>
      </c>
      <c r="D51" s="10" t="s">
        <v>1257</v>
      </c>
      <c r="E51" s="10" t="s">
        <v>1258</v>
      </c>
      <c r="F51" s="10" t="s">
        <v>337</v>
      </c>
      <c r="G51" s="10" t="s">
        <v>337</v>
      </c>
      <c r="H51" s="10" t="s">
        <v>1259</v>
      </c>
      <c r="I51" s="10" t="s">
        <v>1047</v>
      </c>
      <c r="J51" s="12" t="s">
        <v>1260</v>
      </c>
      <c r="K51" s="2"/>
      <c r="L51" s="2" t="str">
        <f aca="false" t="array" ref="L51:L51">IF($G51="","",IFERROR(INDEX(Ангилал!$A$5:$A$22,MATCH(TRUE(),INDEX(ISNUMBER(SEARCH(Ангилал!$B$5:$B$22,$G51&amp;" "&amp;$E51))+ISNUMBER(SEARCH(Ангилал!$C$5:$C$22,$G51&amp;" "&amp;$E51))+IF(Ангилал!$D$5:$D$22="",0,ISNUMBER(SEARCH(Ангилал!$D$5:$D$22,$G51&amp;" "&amp;$E51)))+IF(Ангилал!$E$5:$E$22="",0,ISNUMBER(SEARCH(Ангилал!$E$5:$E$22,$G51&amp;" "&amp;$E51)))&gt;0,0),0)),"Бусад"))</f>
        <v>Бусад</v>
      </c>
      <c r="M51" s="2"/>
      <c r="N51" s="2" t="str">
        <f aca="false">IF($G51="","",IF($M51&lt;&gt;"",$M51,$L51))</f>
        <v>Бусад</v>
      </c>
      <c r="O51" s="2" t="str">
        <f aca="false" t="array" ref="O51:O51">IF($G51="","",IFERROR(INDEX(Ангилал!$G$5:$G$16,MATCH(TRUE(),INDEX(ISNUMBER(SEARCH(Ангилал!$H$5:$H$16,$G51&amp;" "&amp;$E51))+ISNUMBER(SEARCH(Ангилал!$I$5:$I$16,$G51&amp;" "&amp;$E51))+ISNUMBER(SEARCH(Ангилал!$J$5:$J$16,$G51&amp;" "&amp;$E51))+ISNUMBER(SEARCH(Ангилал!$K$5:$K$16,$G51&amp;" "&amp;$E51))&gt;0,0),0)),"Ерөнхий нийт"))</f>
        <v>Ерөнхий нийт</v>
      </c>
      <c r="P51" s="2"/>
      <c r="Q51" s="2" t="str">
        <f aca="false">IF($G51="","",IF($P51&lt;&gt;"",$P51,$O51))</f>
        <v>Ерөнхий нийт</v>
      </c>
    </row>
    <row r="52" customFormat="false" ht="115.5" hidden="false" customHeight="true" outlineLevel="0" collapsed="false">
      <c r="A52" s="9" t="n">
        <v>44</v>
      </c>
      <c r="B52" s="10" t="s">
        <v>1261</v>
      </c>
      <c r="C52" s="10"/>
      <c r="D52" s="10" t="s">
        <v>1262</v>
      </c>
      <c r="E52" s="10" t="s">
        <v>1263</v>
      </c>
      <c r="F52" s="10"/>
      <c r="G52" s="10"/>
      <c r="H52" s="10"/>
      <c r="I52" s="10" t="s">
        <v>1047</v>
      </c>
      <c r="J52" s="12" t="s">
        <v>1264</v>
      </c>
      <c r="K52" s="2"/>
      <c r="L52" s="2" t="str">
        <f aca="false" t="array" ref="L52:L52">IF($G52="","",IFERROR(INDEX(Ангилал!$A$5:$A$22,MATCH(TRUE(),INDEX(ISNUMBER(SEARCH(Ангилал!$B$5:$B$22,$G52&amp;" "&amp;$E52))+ISNUMBER(SEARCH(Ангилал!$C$5:$C$22,$G52&amp;" "&amp;$E52))+IF(Ангилал!$D$5:$D$22="",0,ISNUMBER(SEARCH(Ангилал!$D$5:$D$22,$G52&amp;" "&amp;$E52)))+IF(Ангилал!$E$5:$E$22="",0,ISNUMBER(SEARCH(Ангилал!$E$5:$E$22,$G52&amp;" "&amp;$E52)))&gt;0,0),0)),"Бусад"))</f>
        <v/>
      </c>
      <c r="M52" s="2"/>
      <c r="N52" s="2" t="str">
        <f aca="false">IF($G52="","",IF($M52&lt;&gt;"",$M52,$L52))</f>
        <v/>
      </c>
      <c r="O52" s="2" t="str">
        <f aca="false" t="array" ref="O52:O52">IF($G52="","",IFERROR(INDEX(Ангилал!$G$5:$G$16,MATCH(TRUE(),INDEX(ISNUMBER(SEARCH(Ангилал!$H$5:$H$16,$G52&amp;" "&amp;$E52))+ISNUMBER(SEARCH(Ангилал!$I$5:$I$16,$G52&amp;" "&amp;$E52))+ISNUMBER(SEARCH(Ангилал!$J$5:$J$16,$G52&amp;" "&amp;$E52))+ISNUMBER(SEARCH(Ангилал!$K$5:$K$16,$G52&amp;" "&amp;$E52))&gt;0,0),0)),"Ерөнхий нийт"))</f>
        <v/>
      </c>
      <c r="P52" s="2"/>
      <c r="Q52" s="2" t="str">
        <f aca="false">IF($G52="","",IF($P52&lt;&gt;"",$P52,$O52))</f>
        <v/>
      </c>
    </row>
    <row r="53" customFormat="false" ht="24" hidden="false" customHeight="true" outlineLevel="0" collapsed="false">
      <c r="A53" s="13" t="s">
        <v>1265</v>
      </c>
      <c r="B53" s="13"/>
      <c r="C53" s="13"/>
      <c r="D53" s="13"/>
      <c r="E53" s="13"/>
      <c r="F53" s="13"/>
      <c r="G53" s="13"/>
      <c r="H53" s="13"/>
      <c r="I53" s="13"/>
      <c r="J53" s="13"/>
      <c r="K53" s="2"/>
      <c r="L53" s="2" t="str">
        <f aca="false" t="array" ref="L53:L53">IF($G53="","",IFERROR(INDEX(Ангилал!$A$5:$A$22,MATCH(TRUE(),INDEX(ISNUMBER(SEARCH(Ангилал!$B$5:$B$22,$G53&amp;" "&amp;$E53))+ISNUMBER(SEARCH(Ангилал!$C$5:$C$22,$G53&amp;" "&amp;$E53))+IF(Ангилал!$D$5:$D$22="",0,ISNUMBER(SEARCH(Ангилал!$D$5:$D$22,$G53&amp;" "&amp;$E53)))+IF(Ангилал!$E$5:$E$22="",0,ISNUMBER(SEARCH(Ангилал!$E$5:$E$22,$G53&amp;" "&amp;$E53)))&gt;0,0),0)),"Бусад"))</f>
        <v/>
      </c>
      <c r="M53" s="2"/>
      <c r="N53" s="2" t="str">
        <f aca="false">IF($G53="","",IF($M53&lt;&gt;"",$M53,$L53))</f>
        <v/>
      </c>
      <c r="O53" s="2" t="str">
        <f aca="false" t="array" ref="O53:O53">IF($G53="","",IFERROR(INDEX(Ангилал!$G$5:$G$16,MATCH(TRUE(),INDEX(ISNUMBER(SEARCH(Ангилал!$H$5:$H$16,$G53&amp;" "&amp;$E53))+ISNUMBER(SEARCH(Ангилал!$I$5:$I$16,$G53&amp;" "&amp;$E53))+ISNUMBER(SEARCH(Ангилал!$J$5:$J$16,$G53&amp;" "&amp;$E53))+ISNUMBER(SEARCH(Ангилал!$K$5:$K$16,$G53&amp;" "&amp;$E53))&gt;0,0),0)),"Ерөнхий нийт"))</f>
        <v/>
      </c>
      <c r="P53" s="2"/>
      <c r="Q53" s="2" t="str">
        <f aca="false">IF($G53="","",IF($P53&lt;&gt;"",$P53,$O53))</f>
        <v/>
      </c>
    </row>
    <row r="54" customFormat="false" ht="101.25" hidden="false" customHeight="true" outlineLevel="0" collapsed="false">
      <c r="A54" s="9" t="n">
        <v>45</v>
      </c>
      <c r="B54" s="10" t="s">
        <v>1261</v>
      </c>
      <c r="C54" s="10" t="s">
        <v>337</v>
      </c>
      <c r="D54" s="10" t="s">
        <v>1266</v>
      </c>
      <c r="E54" s="10" t="s">
        <v>1267</v>
      </c>
      <c r="F54" s="10" t="s">
        <v>337</v>
      </c>
      <c r="G54" s="10" t="s">
        <v>337</v>
      </c>
      <c r="H54" s="10" t="s">
        <v>337</v>
      </c>
      <c r="I54" s="10" t="s">
        <v>1047</v>
      </c>
      <c r="J54" s="12" t="s">
        <v>1268</v>
      </c>
      <c r="K54" s="2"/>
      <c r="L54" s="2" t="str">
        <f aca="false" t="array" ref="L54:L54">IF($G54="","",IFERROR(INDEX(Ангилал!$A$5:$A$22,MATCH(TRUE(),INDEX(ISNUMBER(SEARCH(Ангилал!$B$5:$B$22,$G54&amp;" "&amp;$E54))+ISNUMBER(SEARCH(Ангилал!$C$5:$C$22,$G54&amp;" "&amp;$E54))+IF(Ангилал!$D$5:$D$22="",0,ISNUMBER(SEARCH(Ангилал!$D$5:$D$22,$G54&amp;" "&amp;$E54)))+IF(Ангилал!$E$5:$E$22="",0,ISNUMBER(SEARCH(Ангилал!$E$5:$E$22,$G54&amp;" "&amp;$E54)))&gt;0,0),0)),"Бусад"))</f>
        <v>Эрүүл мэндийн эрх</v>
      </c>
      <c r="M54" s="2"/>
      <c r="N54" s="2" t="str">
        <f aca="false">IF($G54="","",IF($M54&lt;&gt;"",$M54,$L54))</f>
        <v>Эрүүл мэндийн эрх</v>
      </c>
      <c r="O54" s="2" t="str">
        <f aca="false" t="array" ref="O54:O54">IF($G54="","",IFERROR(INDEX(Ангилал!$G$5:$G$16,MATCH(TRUE(),INDEX(ISNUMBER(SEARCH(Ангилал!$H$5:$H$16,$G54&amp;" "&amp;$E54))+ISNUMBER(SEARCH(Ангилал!$I$5:$I$16,$G54&amp;" "&amp;$E54))+ISNUMBER(SEARCH(Ангилал!$J$5:$J$16,$G54&amp;" "&amp;$E54))+ISNUMBER(SEARCH(Ангилал!$K$5:$K$16,$G54&amp;" "&amp;$E54))&gt;0,0),0)),"Ерөнхий нийт"))</f>
        <v>Ерөнхий нийт</v>
      </c>
      <c r="P54" s="2"/>
      <c r="Q54" s="2" t="str">
        <f aca="false">IF($G54="","",IF($P54&lt;&gt;"",$P54,$O54))</f>
        <v>Ерөнхий нийт</v>
      </c>
    </row>
    <row r="55" customFormat="false" ht="115.5" hidden="false" customHeight="true" outlineLevel="0" collapsed="false">
      <c r="A55" s="9" t="n">
        <v>46</v>
      </c>
      <c r="B55" s="10" t="s">
        <v>1269</v>
      </c>
      <c r="C55" s="10" t="s">
        <v>337</v>
      </c>
      <c r="D55" s="10" t="s">
        <v>1270</v>
      </c>
      <c r="E55" s="10" t="s">
        <v>1271</v>
      </c>
      <c r="F55" s="10" t="s">
        <v>1272</v>
      </c>
      <c r="G55" s="10" t="s">
        <v>1273</v>
      </c>
      <c r="H55" s="10" t="s">
        <v>337</v>
      </c>
      <c r="I55" s="10" t="s">
        <v>1088</v>
      </c>
      <c r="J55" s="12" t="s">
        <v>1274</v>
      </c>
      <c r="K55" s="2"/>
      <c r="L55" s="2" t="str">
        <f aca="false" t="array" ref="L55:L55">IF($G55="","",IFERROR(INDEX(Ангилал!$A$5:$A$22,MATCH(TRUE(),INDEX(ISNUMBER(SEARCH(Ангилал!$B$5:$B$22,$G55&amp;" "&amp;$E55))+ISNUMBER(SEARCH(Ангилал!$C$5:$C$22,$G55&amp;" "&amp;$E55))+IF(Ангилал!$D$5:$D$22="",0,ISNUMBER(SEARCH(Ангилал!$D$5:$D$22,$G55&amp;" "&amp;$E55)))+IF(Ангилал!$E$5:$E$22="",0,ISNUMBER(SEARCH(Ангилал!$E$5:$E$22,$G55&amp;" "&amp;$E55)))&gt;0,0),0)),"Бусад"))</f>
        <v>Бусад</v>
      </c>
      <c r="M55" s="2"/>
      <c r="N55" s="2" t="str">
        <f aca="false">IF($G55="","",IF($M55&lt;&gt;"",$M55,$L55))</f>
        <v>Бусад</v>
      </c>
      <c r="O55" s="2" t="str">
        <f aca="false" t="array" ref="O55:O55">IF($G55="","",IFERROR(INDEX(Ангилал!$G$5:$G$16,MATCH(TRUE(),INDEX(ISNUMBER(SEARCH(Ангилал!$H$5:$H$16,$G55&amp;" "&amp;$E55))+ISNUMBER(SEARCH(Ангилал!$I$5:$I$16,$G55&amp;" "&amp;$E55))+ISNUMBER(SEARCH(Ангилал!$J$5:$J$16,$G55&amp;" "&amp;$E55))+ISNUMBER(SEARCH(Ангилал!$K$5:$K$16,$G55&amp;" "&amp;$E55))&gt;0,0),0)),"Ерөнхий нийт"))</f>
        <v>Ерөнхий нийт</v>
      </c>
      <c r="P55" s="2"/>
      <c r="Q55" s="2" t="str">
        <f aca="false">IF($G55="","",IF($P55&lt;&gt;"",$P55,$O55))</f>
        <v>Ерөнхий нийт</v>
      </c>
    </row>
    <row r="56" customFormat="false" ht="101.25" hidden="false" customHeight="true" outlineLevel="0" collapsed="false">
      <c r="A56" s="9" t="n">
        <v>47</v>
      </c>
      <c r="B56" s="10" t="s">
        <v>228</v>
      </c>
      <c r="C56" s="10" t="s">
        <v>1275</v>
      </c>
      <c r="D56" s="10" t="s">
        <v>1276</v>
      </c>
      <c r="E56" s="10" t="s">
        <v>1277</v>
      </c>
      <c r="F56" s="10" t="s">
        <v>1278</v>
      </c>
      <c r="G56" s="10" t="s">
        <v>1045</v>
      </c>
      <c r="H56" s="10" t="s">
        <v>1279</v>
      </c>
      <c r="I56" s="10" t="s">
        <v>1088</v>
      </c>
      <c r="J56" s="12" t="s">
        <v>1280</v>
      </c>
      <c r="K56" s="2"/>
      <c r="L56" s="2" t="str">
        <f aca="false" t="array" ref="L56:L56">IF($G56="","",IFERROR(INDEX(Ангилал!$A$5:$A$22,MATCH(TRUE(),INDEX(ISNUMBER(SEARCH(Ангилал!$B$5:$B$22,$G56&amp;" "&amp;$E56))+ISNUMBER(SEARCH(Ангилал!$C$5:$C$22,$G56&amp;" "&amp;$E56))+IF(Ангилал!$D$5:$D$22="",0,ISNUMBER(SEARCH(Ангилал!$D$5:$D$22,$G56&amp;" "&amp;$E56)))+IF(Ангилал!$E$5:$E$22="",0,ISNUMBER(SEARCH(Ангилал!$E$5:$E$22,$G56&amp;" "&amp;$E56)))&gt;0,0),0)),"Бусад"))</f>
        <v>Амьд явах, халдашгүй байх эрх</v>
      </c>
      <c r="M56" s="2"/>
      <c r="N56" s="2" t="str">
        <f aca="false">IF($G56="","",IF($M56&lt;&gt;"",$M56,$L56))</f>
        <v>Амьд явах, халдашгүй байх эрх</v>
      </c>
      <c r="O56" s="2" t="str">
        <f aca="false" t="array" ref="O56:O56">IF($G56="","",IFERROR(INDEX(Ангилал!$G$5:$G$16,MATCH(TRUE(),INDEX(ISNUMBER(SEARCH(Ангилал!$H$5:$H$16,$G56&amp;" "&amp;$E56))+ISNUMBER(SEARCH(Ангилал!$I$5:$I$16,$G56&amp;" "&amp;$E56))+ISNUMBER(SEARCH(Ангилал!$J$5:$J$16,$G56&amp;" "&amp;$E56))+ISNUMBER(SEARCH(Ангилал!$K$5:$K$16,$G56&amp;" "&amp;$E56))&gt;0,0),0)),"Ерөнхий нийт"))</f>
        <v>Эмэгтэйчүүд</v>
      </c>
      <c r="P56" s="2"/>
      <c r="Q56" s="2" t="str">
        <f aca="false">IF($G56="","",IF($P56&lt;&gt;"",$P56,$O56))</f>
        <v>Эмэгтэйчүүд</v>
      </c>
    </row>
    <row r="57" customFormat="false" ht="72" hidden="false" customHeight="true" outlineLevel="0" collapsed="false">
      <c r="A57" s="9" t="n">
        <v>48</v>
      </c>
      <c r="B57" s="10" t="s">
        <v>228</v>
      </c>
      <c r="C57" s="10" t="s">
        <v>337</v>
      </c>
      <c r="D57" s="10" t="s">
        <v>1281</v>
      </c>
      <c r="E57" s="10" t="s">
        <v>1282</v>
      </c>
      <c r="F57" s="10" t="s">
        <v>337</v>
      </c>
      <c r="G57" s="10" t="s">
        <v>1283</v>
      </c>
      <c r="H57" s="10" t="s">
        <v>337</v>
      </c>
      <c r="I57" s="10" t="s">
        <v>1047</v>
      </c>
      <c r="J57" s="12" t="s">
        <v>1284</v>
      </c>
      <c r="K57" s="2"/>
      <c r="L57" s="2" t="str">
        <f aca="false" t="array" ref="L57:L57">IF($G57="","",IFERROR(INDEX(Ангилал!$A$5:$A$22,MATCH(TRUE(),INDEX(ISNUMBER(SEARCH(Ангилал!$B$5:$B$22,$G57&amp;" "&amp;$E57))+ISNUMBER(SEARCH(Ангилал!$C$5:$C$22,$G57&amp;" "&amp;$E57))+IF(Ангилал!$D$5:$D$22="",0,ISNUMBER(SEARCH(Ангилал!$D$5:$D$22,$G57&amp;" "&amp;$E57)))+IF(Ангилал!$E$5:$E$22="",0,ISNUMBER(SEARCH(Ангилал!$E$5:$E$22,$G57&amp;" "&amp;$E57)))&gt;0,0),0)),"Бусад"))</f>
        <v>Хүчирхийлэл, бэлгийн дарамтаас ангид байх</v>
      </c>
      <c r="M57" s="2"/>
      <c r="N57" s="2" t="str">
        <f aca="false">IF($G57="","",IF($M57&lt;&gt;"",$M57,$L57))</f>
        <v>Хүчирхийлэл, бэлгийн дарамтаас ангид байх</v>
      </c>
      <c r="O57" s="2" t="str">
        <f aca="false" t="array" ref="O57:O57">IF($G57="","",IFERROR(INDEX(Ангилал!$G$5:$G$16,MATCH(TRUE(),INDEX(ISNUMBER(SEARCH(Ангилал!$H$5:$H$16,$G57&amp;" "&amp;$E57))+ISNUMBER(SEARCH(Ангилал!$I$5:$I$16,$G57&amp;" "&amp;$E57))+ISNUMBER(SEARCH(Ангилал!$J$5:$J$16,$G57&amp;" "&amp;$E57))+ISNUMBER(SEARCH(Ангилал!$K$5:$K$16,$G57&amp;" "&amp;$E57))&gt;0,0),0)),"Ерөнхий нийт"))</f>
        <v>ЛГБТ иргэд</v>
      </c>
      <c r="P57" s="2"/>
      <c r="Q57" s="2" t="str">
        <f aca="false">IF($G57="","",IF($P57&lt;&gt;"",$P57,$O57))</f>
        <v>ЛГБТ иргэд</v>
      </c>
    </row>
    <row r="58" customFormat="false" ht="201.75" hidden="false" customHeight="true" outlineLevel="0" collapsed="false">
      <c r="A58" s="9" t="n">
        <v>49</v>
      </c>
      <c r="B58" s="10" t="s">
        <v>228</v>
      </c>
      <c r="C58" s="10" t="s">
        <v>337</v>
      </c>
      <c r="D58" s="10" t="s">
        <v>1285</v>
      </c>
      <c r="E58" s="10" t="s">
        <v>1286</v>
      </c>
      <c r="F58" s="10" t="s">
        <v>337</v>
      </c>
      <c r="G58" s="10" t="s">
        <v>337</v>
      </c>
      <c r="H58" s="10" t="s">
        <v>337</v>
      </c>
      <c r="I58" s="10" t="s">
        <v>1047</v>
      </c>
      <c r="J58" s="12" t="s">
        <v>1287</v>
      </c>
      <c r="K58" s="2"/>
      <c r="L58" s="2" t="str">
        <f aca="false" t="array" ref="L58:L58">IF($G58="","",IFERROR(INDEX(Ангилал!$A$5:$A$22,MATCH(TRUE(),INDEX(ISNUMBER(SEARCH(Ангилал!$B$5:$B$22,$G58&amp;" "&amp;$E58))+ISNUMBER(SEARCH(Ангилал!$C$5:$C$22,$G58&amp;" "&amp;$E58))+IF(Ангилал!$D$5:$D$22="",0,ISNUMBER(SEARCH(Ангилал!$D$5:$D$22,$G58&amp;" "&amp;$E58)))+IF(Ангилал!$E$5:$E$22="",0,ISNUMBER(SEARCH(Ангилал!$E$5:$E$22,$G58&amp;" "&amp;$E58)))&gt;0,0),0)),"Бусад"))</f>
        <v>Хүүхдийн эрх</v>
      </c>
      <c r="M58" s="2"/>
      <c r="N58" s="2" t="str">
        <f aca="false">IF($G58="","",IF($M58&lt;&gt;"",$M58,$L58))</f>
        <v>Хүүхдийн эрх</v>
      </c>
      <c r="O58" s="2" t="str">
        <f aca="false" t="array" ref="O58:O58">IF($G58="","",IFERROR(INDEX(Ангилал!$G$5:$G$16,MATCH(TRUE(),INDEX(ISNUMBER(SEARCH(Ангилал!$H$5:$H$16,$G58&amp;" "&amp;$E58))+ISNUMBER(SEARCH(Ангилал!$I$5:$I$16,$G58&amp;" "&amp;$E58))+ISNUMBER(SEARCH(Ангилал!$J$5:$J$16,$G58&amp;" "&amp;$E58))+ISNUMBER(SEARCH(Ангилал!$K$5:$K$16,$G58&amp;" "&amp;$E58))&gt;0,0),0)),"Ерөнхий нийт"))</f>
        <v>Хүүхэд</v>
      </c>
      <c r="P58" s="2"/>
      <c r="Q58" s="2" t="str">
        <f aca="false">IF($G58="","",IF($P58&lt;&gt;"",$P58,$O58))</f>
        <v>Хүүхэд</v>
      </c>
    </row>
    <row r="59" customFormat="false" ht="72" hidden="false" customHeight="true" outlineLevel="0" collapsed="false">
      <c r="A59" s="9" t="n">
        <v>50</v>
      </c>
      <c r="B59" s="10" t="s">
        <v>236</v>
      </c>
      <c r="C59" s="10" t="s">
        <v>337</v>
      </c>
      <c r="D59" s="10" t="s">
        <v>1288</v>
      </c>
      <c r="E59" s="10" t="s">
        <v>1289</v>
      </c>
      <c r="F59" s="10" t="s">
        <v>1290</v>
      </c>
      <c r="G59" s="10" t="s">
        <v>1045</v>
      </c>
      <c r="H59" s="10" t="s">
        <v>1291</v>
      </c>
      <c r="I59" s="10" t="s">
        <v>1292</v>
      </c>
      <c r="J59" s="12" t="s">
        <v>1293</v>
      </c>
      <c r="K59" s="2"/>
      <c r="L59" s="2" t="str">
        <f aca="false" t="array" ref="L59:L59">IF($G59="","",IFERROR(INDEX(Ангилал!$A$5:$A$22,MATCH(TRUE(),INDEX(ISNUMBER(SEARCH(Ангилал!$B$5:$B$22,$G59&amp;" "&amp;$E59))+ISNUMBER(SEARCH(Ангилал!$C$5:$C$22,$G59&amp;" "&amp;$E59))+IF(Ангилал!$D$5:$D$22="",0,ISNUMBER(SEARCH(Ангилал!$D$5:$D$22,$G59&amp;" "&amp;$E59)))+IF(Ангилал!$E$5:$E$22="",0,ISNUMBER(SEARCH(Ангилал!$E$5:$E$22,$G59&amp;" "&amp;$E59)))&gt;0,0),0)),"Бусад"))</f>
        <v>Хүүхдийн эрх</v>
      </c>
      <c r="M59" s="2"/>
      <c r="N59" s="2" t="str">
        <f aca="false">IF($G59="","",IF($M59&lt;&gt;"",$M59,$L59))</f>
        <v>Хүүхдийн эрх</v>
      </c>
      <c r="O59" s="2" t="str">
        <f aca="false" t="array" ref="O59:O59">IF($G59="","",IFERROR(INDEX(Ангилал!$G$5:$G$16,MATCH(TRUE(),INDEX(ISNUMBER(SEARCH(Ангилал!$H$5:$H$16,$G59&amp;" "&amp;$E59))+ISNUMBER(SEARCH(Ангилал!$I$5:$I$16,$G59&amp;" "&amp;$E59))+ISNUMBER(SEARCH(Ангилал!$J$5:$J$16,$G59&amp;" "&amp;$E59))+ISNUMBER(SEARCH(Ангилал!$K$5:$K$16,$G59&amp;" "&amp;$E59))&gt;0,0),0)),"Ерөнхий нийт"))</f>
        <v>Хүүхэд</v>
      </c>
      <c r="P59" s="2"/>
      <c r="Q59" s="2" t="str">
        <f aca="false">IF($G59="","",IF($P59&lt;&gt;"",$P59,$O59))</f>
        <v>Хүүхэд</v>
      </c>
    </row>
    <row r="60" customFormat="false" ht="101.25" hidden="false" customHeight="true" outlineLevel="0" collapsed="false">
      <c r="A60" s="9" t="n">
        <v>51</v>
      </c>
      <c r="B60" s="10" t="s">
        <v>254</v>
      </c>
      <c r="C60" s="10" t="s">
        <v>337</v>
      </c>
      <c r="D60" s="10" t="s">
        <v>1294</v>
      </c>
      <c r="E60" s="10" t="s">
        <v>1295</v>
      </c>
      <c r="F60" s="10" t="s">
        <v>1296</v>
      </c>
      <c r="G60" s="10" t="s">
        <v>1045</v>
      </c>
      <c r="H60" s="10" t="s">
        <v>337</v>
      </c>
      <c r="I60" s="10" t="s">
        <v>1047</v>
      </c>
      <c r="J60" s="12" t="s">
        <v>1297</v>
      </c>
      <c r="K60" s="2"/>
      <c r="L60" s="2" t="str">
        <f aca="false" t="array" ref="L60:L60">IF($G60="","",IFERROR(INDEX(Ангилал!$A$5:$A$22,MATCH(TRUE(),INDEX(ISNUMBER(SEARCH(Ангилал!$B$5:$B$22,$G60&amp;" "&amp;$E60))+ISNUMBER(SEARCH(Ангилал!$C$5:$C$22,$G60&amp;" "&amp;$E60))+IF(Ангилал!$D$5:$D$22="",0,ISNUMBER(SEARCH(Ангилал!$D$5:$D$22,$G60&amp;" "&amp;$E60)))+IF(Ангилал!$E$5:$E$22="",0,ISNUMBER(SEARCH(Ангилал!$E$5:$E$22,$G60&amp;" "&amp;$E60)))&gt;0,0),0)),"Бусад"))</f>
        <v>Амьд явах, халдашгүй байх эрх</v>
      </c>
      <c r="M60" s="2"/>
      <c r="N60" s="2" t="str">
        <f aca="false">IF($G60="","",IF($M60&lt;&gt;"",$M60,$L60))</f>
        <v>Амьд явах, халдашгүй байх эрх</v>
      </c>
      <c r="O60" s="2" t="str">
        <f aca="false" t="array" ref="O60:O60">IF($G60="","",IFERROR(INDEX(Ангилал!$G$5:$G$16,MATCH(TRUE(),INDEX(ISNUMBER(SEARCH(Ангилал!$H$5:$H$16,$G60&amp;" "&amp;$E60))+ISNUMBER(SEARCH(Ангилал!$I$5:$I$16,$G60&amp;" "&amp;$E60))+ISNUMBER(SEARCH(Ангилал!$J$5:$J$16,$G60&amp;" "&amp;$E60))+ISNUMBER(SEARCH(Ангилал!$K$5:$K$16,$G60&amp;" "&amp;$E60))&gt;0,0),0)),"Ерөнхий нийт"))</f>
        <v>Ерөнхий нийт</v>
      </c>
      <c r="P60" s="2"/>
      <c r="Q60" s="2" t="str">
        <f aca="false">IF($G60="","",IF($P60&lt;&gt;"",$P60,$O60))</f>
        <v>Ерөнхий нийт</v>
      </c>
    </row>
    <row r="61" customFormat="false" ht="24" hidden="false" customHeight="true" outlineLevel="0" collapsed="false">
      <c r="A61" s="13" t="s">
        <v>282</v>
      </c>
      <c r="B61" s="13"/>
      <c r="C61" s="13"/>
      <c r="D61" s="13"/>
      <c r="E61" s="13"/>
      <c r="F61" s="13"/>
      <c r="G61" s="13"/>
      <c r="H61" s="13"/>
      <c r="I61" s="13"/>
      <c r="J61" s="13"/>
      <c r="K61" s="2"/>
      <c r="L61" s="2" t="str">
        <f aca="false" t="array" ref="L61:L61">IF($G61="","",IFERROR(INDEX(Ангилал!$A$5:$A$22,MATCH(TRUE(),INDEX(ISNUMBER(SEARCH(Ангилал!$B$5:$B$22,$G61&amp;" "&amp;$E61))+ISNUMBER(SEARCH(Ангилал!$C$5:$C$22,$G61&amp;" "&amp;$E61))+IF(Ангилал!$D$5:$D$22="",0,ISNUMBER(SEARCH(Ангилал!$D$5:$D$22,$G61&amp;" "&amp;$E61)))+IF(Ангилал!$E$5:$E$22="",0,ISNUMBER(SEARCH(Ангилал!$E$5:$E$22,$G61&amp;" "&amp;$E61)))&gt;0,0),0)),"Бусад"))</f>
        <v/>
      </c>
      <c r="M61" s="2"/>
      <c r="N61" s="2" t="str">
        <f aca="false">IF($G61="","",IF($M61&lt;&gt;"",$M61,$L61))</f>
        <v/>
      </c>
      <c r="O61" s="2" t="str">
        <f aca="false" t="array" ref="O61:O61">IF($G61="","",IFERROR(INDEX(Ангилал!$G$5:$G$16,MATCH(TRUE(),INDEX(ISNUMBER(SEARCH(Ангилал!$H$5:$H$16,$G61&amp;" "&amp;$E61))+ISNUMBER(SEARCH(Ангилал!$I$5:$I$16,$G61&amp;" "&amp;$E61))+ISNUMBER(SEARCH(Ангилал!$J$5:$J$16,$G61&amp;" "&amp;$E61))+ISNUMBER(SEARCH(Ангилал!$K$5:$K$16,$G61&amp;" "&amp;$E61))&gt;0,0),0)),"Ерөнхий нийт"))</f>
        <v/>
      </c>
      <c r="P61" s="2"/>
      <c r="Q61" s="2" t="str">
        <f aca="false">IF($G61="","",IF($P61&lt;&gt;"",$P61,$O61))</f>
        <v/>
      </c>
    </row>
    <row r="62" customFormat="false" ht="115.5" hidden="false" customHeight="true" outlineLevel="0" collapsed="false">
      <c r="A62" s="9" t="n">
        <v>52</v>
      </c>
      <c r="B62" s="10" t="s">
        <v>298</v>
      </c>
      <c r="C62" s="10" t="s">
        <v>1298</v>
      </c>
      <c r="D62" s="10" t="s">
        <v>1299</v>
      </c>
      <c r="E62" s="10" t="s">
        <v>1300</v>
      </c>
      <c r="F62" s="10" t="s">
        <v>1301</v>
      </c>
      <c r="G62" s="10" t="s">
        <v>1302</v>
      </c>
      <c r="H62" s="10" t="s">
        <v>1303</v>
      </c>
      <c r="I62" s="10" t="s">
        <v>1304</v>
      </c>
      <c r="J62" s="12" t="s">
        <v>1305</v>
      </c>
      <c r="K62" s="2"/>
      <c r="L62" s="2" t="str">
        <f aca="false" t="array" ref="L62:L62">IF($G62="","",IFERROR(INDEX(Ангилал!$A$5:$A$22,MATCH(TRUE(),INDEX(ISNUMBER(SEARCH(Ангилал!$B$5:$B$22,$G62&amp;" "&amp;$E62))+ISNUMBER(SEARCH(Ангилал!$C$5:$C$22,$G62&amp;" "&amp;$E62))+IF(Ангилал!$D$5:$D$22="",0,ISNUMBER(SEARCH(Ангилал!$D$5:$D$22,$G62&amp;" "&amp;$E62)))+IF(Ангилал!$E$5:$E$22="",0,ISNUMBER(SEARCH(Ангилал!$E$5:$E$22,$G62&amp;" "&amp;$E62)))&gt;0,0),0)),"Бусад"))</f>
        <v>Хүүхдийн эрх</v>
      </c>
      <c r="M62" s="2"/>
      <c r="N62" s="2" t="str">
        <f aca="false">IF($G62="","",IF($M62&lt;&gt;"",$M62,$L62))</f>
        <v>Хүүхдийн эрх</v>
      </c>
      <c r="O62" s="2" t="str">
        <f aca="false" t="array" ref="O62:O62">IF($G62="","",IFERROR(INDEX(Ангилал!$G$5:$G$16,MATCH(TRUE(),INDEX(ISNUMBER(SEARCH(Ангилал!$H$5:$H$16,$G62&amp;" "&amp;$E62))+ISNUMBER(SEARCH(Ангилал!$I$5:$I$16,$G62&amp;" "&amp;$E62))+ISNUMBER(SEARCH(Ангилал!$J$5:$J$16,$G62&amp;" "&amp;$E62))+ISNUMBER(SEARCH(Ангилал!$K$5:$K$16,$G62&amp;" "&amp;$E62))&gt;0,0),0)),"Ерөнхий нийт"))</f>
        <v>Хүүхэд</v>
      </c>
      <c r="P62" s="2"/>
      <c r="Q62" s="2" t="str">
        <f aca="false">IF($G62="","",IF($P62&lt;&gt;"",$P62,$O62))</f>
        <v>Хүүхэд</v>
      </c>
    </row>
    <row r="63" customFormat="false" ht="101.25" hidden="false" customHeight="true" outlineLevel="0" collapsed="false">
      <c r="A63" s="9" t="n">
        <v>53</v>
      </c>
      <c r="B63" s="10" t="s">
        <v>298</v>
      </c>
      <c r="C63" s="10" t="s">
        <v>1306</v>
      </c>
      <c r="D63" s="10" t="s">
        <v>1307</v>
      </c>
      <c r="E63" s="10" t="s">
        <v>1308</v>
      </c>
      <c r="F63" s="10" t="s">
        <v>1309</v>
      </c>
      <c r="G63" s="10" t="s">
        <v>1310</v>
      </c>
      <c r="H63" s="10" t="s">
        <v>1311</v>
      </c>
      <c r="I63" s="10" t="s">
        <v>1312</v>
      </c>
      <c r="J63" s="12" t="s">
        <v>1313</v>
      </c>
      <c r="K63" s="2"/>
      <c r="L63" s="2" t="str">
        <f aca="false" t="array" ref="L63:L63">IF($G63="","",IFERROR(INDEX(Ангилал!$A$5:$A$22,MATCH(TRUE(),INDEX(ISNUMBER(SEARCH(Ангилал!$B$5:$B$22,$G63&amp;" "&amp;$E63))+ISNUMBER(SEARCH(Ангилал!$C$5:$C$22,$G63&amp;" "&amp;$E63))+IF(Ангилал!$D$5:$D$22="",0,ISNUMBER(SEARCH(Ангилал!$D$5:$D$22,$G63&amp;" "&amp;$E63)))+IF(Ангилал!$E$5:$E$22="",0,ISNUMBER(SEARCH(Ангилал!$E$5:$E$22,$G63&amp;" "&amp;$E63)))&gt;0,0),0)),"Бусад"))</f>
        <v>Хүчирхийлэл, бэлгийн дарамтаас ангид байх</v>
      </c>
      <c r="M63" s="2"/>
      <c r="N63" s="2" t="str">
        <f aca="false">IF($G63="","",IF($M63&lt;&gt;"",$M63,$L63))</f>
        <v>Хүчирхийлэл, бэлгийн дарамтаас ангид байх</v>
      </c>
      <c r="O63" s="2" t="str">
        <f aca="false" t="array" ref="O63:O63">IF($G63="","",IFERROR(INDEX(Ангилал!$G$5:$G$16,MATCH(TRUE(),INDEX(ISNUMBER(SEARCH(Ангилал!$H$5:$H$16,$G63&amp;" "&amp;$E63))+ISNUMBER(SEARCH(Ангилал!$I$5:$I$16,$G63&amp;" "&amp;$E63))+ISNUMBER(SEARCH(Ангилал!$J$5:$J$16,$G63&amp;" "&amp;$E63))+ISNUMBER(SEARCH(Ангилал!$K$5:$K$16,$G63&amp;" "&amp;$E63))&gt;0,0),0)),"Ерөнхий нийт"))</f>
        <v>ЛГБТ иргэд</v>
      </c>
      <c r="P63" s="2"/>
      <c r="Q63" s="2" t="str">
        <f aca="false">IF($G63="","",IF($P63&lt;&gt;"",$P63,$O63))</f>
        <v>ЛГБТ иргэд</v>
      </c>
    </row>
    <row r="64" customFormat="false" ht="86.25" hidden="false" customHeight="true" outlineLevel="0" collapsed="false">
      <c r="A64" s="9" t="n">
        <v>54</v>
      </c>
      <c r="B64" s="10" t="s">
        <v>1314</v>
      </c>
      <c r="C64" s="10" t="s">
        <v>1315</v>
      </c>
      <c r="D64" s="10" t="s">
        <v>1316</v>
      </c>
      <c r="E64" s="10" t="s">
        <v>1317</v>
      </c>
      <c r="F64" s="10" t="s">
        <v>1318</v>
      </c>
      <c r="G64" s="10" t="s">
        <v>1319</v>
      </c>
      <c r="H64" s="10" t="s">
        <v>1320</v>
      </c>
      <c r="I64" s="10" t="s">
        <v>1321</v>
      </c>
      <c r="J64" s="12" t="s">
        <v>1322</v>
      </c>
      <c r="K64" s="2"/>
      <c r="L64" s="2" t="str">
        <f aca="false" t="array" ref="L64:L64">IF($G64="","",IFERROR(INDEX(Ангилал!$A$5:$A$22,MATCH(TRUE(),INDEX(ISNUMBER(SEARCH(Ангилал!$B$5:$B$22,$G64&amp;" "&amp;$E64))+ISNUMBER(SEARCH(Ангилал!$C$5:$C$22,$G64&amp;" "&amp;$E64))+IF(Ангилал!$D$5:$D$22="",0,ISNUMBER(SEARCH(Ангилал!$D$5:$D$22,$G64&amp;" "&amp;$E64)))+IF(Ангилал!$E$5:$E$22="",0,ISNUMBER(SEARCH(Ангилал!$E$5:$E$22,$G64&amp;" "&amp;$E64)))&gt;0,0),0)),"Бусад"))</f>
        <v>Амьд явах, халдашгүй байх эрх</v>
      </c>
      <c r="M64" s="2"/>
      <c r="N64" s="2" t="str">
        <f aca="false">IF($G64="","",IF($M64&lt;&gt;"",$M64,$L64))</f>
        <v>Амьд явах, халдашгүй байх эрх</v>
      </c>
      <c r="O64" s="2" t="str">
        <f aca="false" t="array" ref="O64:O64">IF($G64="","",IFERROR(INDEX(Ангилал!$G$5:$G$16,MATCH(TRUE(),INDEX(ISNUMBER(SEARCH(Ангилал!$H$5:$H$16,$G64&amp;" "&amp;$E64))+ISNUMBER(SEARCH(Ангилал!$I$5:$I$16,$G64&amp;" "&amp;$E64))+ISNUMBER(SEARCH(Ангилал!$J$5:$J$16,$G64&amp;" "&amp;$E64))+ISNUMBER(SEARCH(Ангилал!$K$5:$K$16,$G64&amp;" "&amp;$E64))&gt;0,0),0)),"Ерөнхий нийт"))</f>
        <v>Ерөнхий нийт</v>
      </c>
      <c r="P64" s="2"/>
      <c r="Q64" s="2" t="str">
        <f aca="false">IF($G64="","",IF($P64&lt;&gt;"",$P64,$O64))</f>
        <v>Ерөнхий нийт</v>
      </c>
    </row>
    <row r="65" customFormat="false" ht="24" hidden="false" customHeight="true" outlineLevel="0" collapsed="false">
      <c r="A65" s="13" t="s">
        <v>1323</v>
      </c>
      <c r="B65" s="13"/>
      <c r="C65" s="13"/>
      <c r="D65" s="13"/>
      <c r="E65" s="13"/>
      <c r="F65" s="13"/>
      <c r="G65" s="13"/>
      <c r="H65" s="13"/>
      <c r="I65" s="13"/>
      <c r="J65" s="13"/>
      <c r="K65" s="2"/>
      <c r="L65" s="2" t="str">
        <f aca="false" t="array" ref="L65:L65">IF($G65="","",IFERROR(INDEX(Ангилал!$A$5:$A$22,MATCH(TRUE(),INDEX(ISNUMBER(SEARCH(Ангилал!$B$5:$B$22,$G65&amp;" "&amp;$E65))+ISNUMBER(SEARCH(Ангилал!$C$5:$C$22,$G65&amp;" "&amp;$E65))+IF(Ангилал!$D$5:$D$22="",0,ISNUMBER(SEARCH(Ангилал!$D$5:$D$22,$G65&amp;" "&amp;$E65)))+IF(Ангилал!$E$5:$E$22="",0,ISNUMBER(SEARCH(Ангилал!$E$5:$E$22,$G65&amp;" "&amp;$E65)))&gt;0,0),0)),"Бусад"))</f>
        <v/>
      </c>
      <c r="M65" s="2"/>
      <c r="N65" s="2" t="str">
        <f aca="false">IF($G65="","",IF($M65&lt;&gt;"",$M65,$L65))</f>
        <v/>
      </c>
      <c r="O65" s="2" t="str">
        <f aca="false" t="array" ref="O65:O65">IF($G65="","",IFERROR(INDEX(Ангилал!$G$5:$G$16,MATCH(TRUE(),INDEX(ISNUMBER(SEARCH(Ангилал!$H$5:$H$16,$G65&amp;" "&amp;$E65))+ISNUMBER(SEARCH(Ангилал!$I$5:$I$16,$G65&amp;" "&amp;$E65))+ISNUMBER(SEARCH(Ангилал!$J$5:$J$16,$G65&amp;" "&amp;$E65))+ISNUMBER(SEARCH(Ангилал!$K$5:$K$16,$G65&amp;" "&amp;$E65))&gt;0,0),0)),"Ерөнхий нийт"))</f>
        <v/>
      </c>
      <c r="P65" s="2"/>
      <c r="Q65" s="2" t="str">
        <f aca="false">IF($G65="","",IF($P65&lt;&gt;"",$P65,$O65))</f>
        <v/>
      </c>
    </row>
    <row r="66" customFormat="false" ht="72" hidden="false" customHeight="true" outlineLevel="0" collapsed="false">
      <c r="A66" s="9" t="n">
        <v>55</v>
      </c>
      <c r="B66" s="10" t="s">
        <v>1324</v>
      </c>
      <c r="C66" s="10" t="s">
        <v>1324</v>
      </c>
      <c r="D66" s="10" t="s">
        <v>1325</v>
      </c>
      <c r="E66" s="10" t="s">
        <v>1326</v>
      </c>
      <c r="F66" s="10" t="s">
        <v>337</v>
      </c>
      <c r="G66" s="10" t="s">
        <v>957</v>
      </c>
      <c r="H66" s="10" t="s">
        <v>337</v>
      </c>
      <c r="I66" s="10" t="s">
        <v>1047</v>
      </c>
      <c r="J66" s="12" t="s">
        <v>1327</v>
      </c>
      <c r="K66" s="2"/>
      <c r="L66" s="2" t="str">
        <f aca="false" t="array" ref="L66:L66">IF($G66="","",IFERROR(INDEX(Ангилал!$A$5:$A$22,MATCH(TRUE(),INDEX(ISNUMBER(SEARCH(Ангилал!$B$5:$B$22,$G66&amp;" "&amp;$E66))+ISNUMBER(SEARCH(Ангилал!$C$5:$C$22,$G66&amp;" "&amp;$E66))+IF(Ангилал!$D$5:$D$22="",0,ISNUMBER(SEARCH(Ангилал!$D$5:$D$22,$G66&amp;" "&amp;$E66)))+IF(Ангилал!$E$5:$E$22="",0,ISNUMBER(SEARCH(Ангилал!$E$5:$E$22,$G66&amp;" "&amp;$E66)))&gt;0,0),0)),"Бусад"))</f>
        <v>Хүүхдийн эрх</v>
      </c>
      <c r="M66" s="2"/>
      <c r="N66" s="2" t="str">
        <f aca="false">IF($G66="","",IF($M66&lt;&gt;"",$M66,$L66))</f>
        <v>Хүүхдийн эрх</v>
      </c>
      <c r="O66" s="2" t="str">
        <f aca="false" t="array" ref="O66:O66">IF($G66="","",IFERROR(INDEX(Ангилал!$G$5:$G$16,MATCH(TRUE(),INDEX(ISNUMBER(SEARCH(Ангилал!$H$5:$H$16,$G66&amp;" "&amp;$E66))+ISNUMBER(SEARCH(Ангилал!$I$5:$I$16,$G66&amp;" "&amp;$E66))+ISNUMBER(SEARCH(Ангилал!$J$5:$J$16,$G66&amp;" "&amp;$E66))+ISNUMBER(SEARCH(Ангилал!$K$5:$K$16,$G66&amp;" "&amp;$E66))&gt;0,0),0)),"Ерөнхий нийт"))</f>
        <v>Хүүхэд</v>
      </c>
      <c r="P66" s="2"/>
      <c r="Q66" s="2" t="str">
        <f aca="false">IF($G66="","",IF($P66&lt;&gt;"",$P66,$O66))</f>
        <v>Хүүхэд</v>
      </c>
    </row>
    <row r="67" customFormat="false" ht="72" hidden="false" customHeight="true" outlineLevel="0" collapsed="false">
      <c r="A67" s="9" t="n">
        <v>56</v>
      </c>
      <c r="B67" s="10" t="s">
        <v>1328</v>
      </c>
      <c r="C67" s="10" t="s">
        <v>1324</v>
      </c>
      <c r="D67" s="10" t="s">
        <v>1329</v>
      </c>
      <c r="E67" s="10" t="s">
        <v>1330</v>
      </c>
      <c r="F67" s="10" t="s">
        <v>337</v>
      </c>
      <c r="G67" s="10" t="s">
        <v>1071</v>
      </c>
      <c r="H67" s="10" t="s">
        <v>337</v>
      </c>
      <c r="I67" s="10" t="s">
        <v>1088</v>
      </c>
      <c r="J67" s="12" t="s">
        <v>1331</v>
      </c>
      <c r="K67" s="2"/>
      <c r="L67" s="2" t="str">
        <f aca="false" t="array" ref="L67:L67">IF($G67="","",IFERROR(INDEX(Ангилал!$A$5:$A$22,MATCH(TRUE(),INDEX(ISNUMBER(SEARCH(Ангилал!$B$5:$B$22,$G67&amp;" "&amp;$E67))+ISNUMBER(SEARCH(Ангилал!$C$5:$C$22,$G67&amp;" "&amp;$E67))+IF(Ангилал!$D$5:$D$22="",0,ISNUMBER(SEARCH(Ангилал!$D$5:$D$22,$G67&amp;" "&amp;$E67)))+IF(Ангилал!$E$5:$E$22="",0,ISNUMBER(SEARCH(Ангилал!$E$5:$E$22,$G67&amp;" "&amp;$E67)))&gt;0,0),0)),"Бусад"))</f>
        <v>Амьд явах, халдашгүй байх эрх</v>
      </c>
      <c r="M67" s="2"/>
      <c r="N67" s="2" t="str">
        <f aca="false">IF($G67="","",IF($M67&lt;&gt;"",$M67,$L67))</f>
        <v>Амьд явах, халдашгүй байх эрх</v>
      </c>
      <c r="O67" s="2" t="str">
        <f aca="false" t="array" ref="O67:O67">IF($G67="","",IFERROR(INDEX(Ангилал!$G$5:$G$16,MATCH(TRUE(),INDEX(ISNUMBER(SEARCH(Ангилал!$H$5:$H$16,$G67&amp;" "&amp;$E67))+ISNUMBER(SEARCH(Ангилал!$I$5:$I$16,$G67&amp;" "&amp;$E67))+ISNUMBER(SEARCH(Ангилал!$J$5:$J$16,$G67&amp;" "&amp;$E67))+ISNUMBER(SEARCH(Ангилал!$K$5:$K$16,$G67&amp;" "&amp;$E67))&gt;0,0),0)),"Ерөнхий нийт"))</f>
        <v>Ерөнхий нийт</v>
      </c>
      <c r="P67" s="2"/>
      <c r="Q67" s="2" t="str">
        <f aca="false">IF($G67="","",IF($P67&lt;&gt;"",$P67,$O67))</f>
        <v>Ерөнхий нийт</v>
      </c>
    </row>
    <row r="68" customFormat="false" ht="86.25" hidden="false" customHeight="true" outlineLevel="0" collapsed="false">
      <c r="A68" s="9" t="n">
        <v>57</v>
      </c>
      <c r="B68" s="10" t="s">
        <v>327</v>
      </c>
      <c r="C68" s="10" t="s">
        <v>337</v>
      </c>
      <c r="D68" s="10" t="s">
        <v>1332</v>
      </c>
      <c r="E68" s="10" t="s">
        <v>1333</v>
      </c>
      <c r="F68" s="10" t="s">
        <v>337</v>
      </c>
      <c r="G68" s="10" t="s">
        <v>1334</v>
      </c>
      <c r="H68" s="10" t="s">
        <v>337</v>
      </c>
      <c r="I68" s="10" t="s">
        <v>1047</v>
      </c>
      <c r="J68" s="12" t="s">
        <v>1335</v>
      </c>
      <c r="K68" s="2"/>
      <c r="L68" s="2" t="str">
        <f aca="false" t="array" ref="L68:L68">IF($G68="","",IFERROR(INDEX(Ангилал!$A$5:$A$22,MATCH(TRUE(),INDEX(ISNUMBER(SEARCH(Ангилал!$B$5:$B$22,$G68&amp;" "&amp;$E68))+ISNUMBER(SEARCH(Ангилал!$C$5:$C$22,$G68&amp;" "&amp;$E68))+IF(Ангилал!$D$5:$D$22="",0,ISNUMBER(SEARCH(Ангилал!$D$5:$D$22,$G68&amp;" "&amp;$E68)))+IF(Ангилал!$E$5:$E$22="",0,ISNUMBER(SEARCH(Ангилал!$E$5:$E$22,$G68&amp;" "&amp;$E68)))&gt;0,0),0)),"Бусад"))</f>
        <v>Бусад</v>
      </c>
      <c r="M68" s="2"/>
      <c r="N68" s="2" t="str">
        <f aca="false">IF($G68="","",IF($M68&lt;&gt;"",$M68,$L68))</f>
        <v>Бусад</v>
      </c>
      <c r="O68" s="2" t="str">
        <f aca="false" t="array" ref="O68:O68">IF($G68="","",IFERROR(INDEX(Ангилал!$G$5:$G$16,MATCH(TRUE(),INDEX(ISNUMBER(SEARCH(Ангилал!$H$5:$H$16,$G68&amp;" "&amp;$E68))+ISNUMBER(SEARCH(Ангилал!$I$5:$I$16,$G68&amp;" "&amp;$E68))+ISNUMBER(SEARCH(Ангилал!$J$5:$J$16,$G68&amp;" "&amp;$E68))+ISNUMBER(SEARCH(Ангилал!$K$5:$K$16,$G68&amp;" "&amp;$E68))&gt;0,0),0)),"Ерөнхий нийт"))</f>
        <v>Ерөнхий нийт</v>
      </c>
      <c r="P68" s="2"/>
      <c r="Q68" s="2" t="str">
        <f aca="false">IF($G68="","",IF($P68&lt;&gt;"",$P68,$O68))</f>
        <v>Ерөнхий нийт</v>
      </c>
    </row>
    <row r="69" customFormat="false" ht="72" hidden="false" customHeight="true" outlineLevel="0" collapsed="false">
      <c r="A69" s="9" t="n">
        <v>58</v>
      </c>
      <c r="B69" s="10" t="s">
        <v>1336</v>
      </c>
      <c r="C69" s="10" t="s">
        <v>337</v>
      </c>
      <c r="D69" s="10" t="s">
        <v>1337</v>
      </c>
      <c r="E69" s="10" t="s">
        <v>1338</v>
      </c>
      <c r="F69" s="10" t="s">
        <v>337</v>
      </c>
      <c r="G69" s="10" t="s">
        <v>1129</v>
      </c>
      <c r="H69" s="10" t="s">
        <v>337</v>
      </c>
      <c r="I69" s="10" t="s">
        <v>1047</v>
      </c>
      <c r="J69" s="12" t="s">
        <v>1339</v>
      </c>
      <c r="K69" s="2"/>
      <c r="L69" s="2" t="str">
        <f aca="false" t="array" ref="L69:L69">IF($G69="","",IFERROR(INDEX(Ангилал!$A$5:$A$22,MATCH(TRUE(),INDEX(ISNUMBER(SEARCH(Ангилал!$B$5:$B$22,$G69&amp;" "&amp;$E69))+ISNUMBER(SEARCH(Ангилал!$C$5:$C$22,$G69&amp;" "&amp;$E69))+IF(Ангилал!$D$5:$D$22="",0,ISNUMBER(SEARCH(Ангилал!$D$5:$D$22,$G69&amp;" "&amp;$E69)))+IF(Ангилал!$E$5:$E$22="",0,ISNUMBER(SEARCH(Ангилал!$E$5:$E$22,$G69&amp;" "&amp;$E69)))&gt;0,0),0)),"Бусад"))</f>
        <v>Хүнс, ус, орон сууцны эрх</v>
      </c>
      <c r="M69" s="2"/>
      <c r="N69" s="2" t="str">
        <f aca="false">IF($G69="","",IF($M69&lt;&gt;"",$M69,$L69))</f>
        <v>Хүнс, ус, орон сууцны эрх</v>
      </c>
      <c r="O69" s="2" t="str">
        <f aca="false" t="array" ref="O69:O69">IF($G69="","",IFERROR(INDEX(Ангилал!$G$5:$G$16,MATCH(TRUE(),INDEX(ISNUMBER(SEARCH(Ангилал!$H$5:$H$16,$G69&amp;" "&amp;$E69))+ISNUMBER(SEARCH(Ангилал!$I$5:$I$16,$G69&amp;" "&amp;$E69))+ISNUMBER(SEARCH(Ангилал!$J$5:$J$16,$G69&amp;" "&amp;$E69))+ISNUMBER(SEARCH(Ангилал!$K$5:$K$16,$G69&amp;" "&amp;$E69))&gt;0,0),0)),"Ерөнхий нийт"))</f>
        <v>Ерөнхий нийт</v>
      </c>
      <c r="P69" s="2"/>
      <c r="Q69" s="2" t="str">
        <f aca="false">IF($G69="","",IF($P69&lt;&gt;"",$P69,$O69))</f>
        <v>Ерөнхий нийт</v>
      </c>
    </row>
    <row r="70" customFormat="false" ht="115.5" hidden="false" customHeight="true" outlineLevel="0" collapsed="false">
      <c r="A70" s="9" t="n">
        <v>59</v>
      </c>
      <c r="B70" s="10" t="s">
        <v>1336</v>
      </c>
      <c r="C70" s="10" t="s">
        <v>1340</v>
      </c>
      <c r="D70" s="10" t="s">
        <v>1341</v>
      </c>
      <c r="E70" s="10" t="s">
        <v>1342</v>
      </c>
      <c r="F70" s="10" t="s">
        <v>1152</v>
      </c>
      <c r="G70" s="10" t="s">
        <v>1071</v>
      </c>
      <c r="H70" s="10" t="s">
        <v>1093</v>
      </c>
      <c r="I70" s="10" t="s">
        <v>1088</v>
      </c>
      <c r="J70" s="12" t="s">
        <v>1343</v>
      </c>
      <c r="K70" s="2"/>
      <c r="L70" s="2" t="str">
        <f aca="false" t="array" ref="L70:L70">IF($G70="","",IFERROR(INDEX(Ангилал!$A$5:$A$22,MATCH(TRUE(),INDEX(ISNUMBER(SEARCH(Ангилал!$B$5:$B$22,$G70&amp;" "&amp;$E70))+ISNUMBER(SEARCH(Ангилал!$C$5:$C$22,$G70&amp;" "&amp;$E70))+IF(Ангилал!$D$5:$D$22="",0,ISNUMBER(SEARCH(Ангилал!$D$5:$D$22,$G70&amp;" "&amp;$E70)))+IF(Ангилал!$E$5:$E$22="",0,ISNUMBER(SEARCH(Ангилал!$E$5:$E$22,$G70&amp;" "&amp;$E70)))&gt;0,0),0)),"Бусад"))</f>
        <v>Амьд явах, халдашгүй байх эрх</v>
      </c>
      <c r="M70" s="2"/>
      <c r="N70" s="2" t="str">
        <f aca="false">IF($G70="","",IF($M70&lt;&gt;"",$M70,$L70))</f>
        <v>Амьд явах, халдашгүй байх эрх</v>
      </c>
      <c r="O70" s="2" t="str">
        <f aca="false" t="array" ref="O70:O70">IF($G70="","",IFERROR(INDEX(Ангилал!$G$5:$G$16,MATCH(TRUE(),INDEX(ISNUMBER(SEARCH(Ангилал!$H$5:$H$16,$G70&amp;" "&amp;$E70))+ISNUMBER(SEARCH(Ангилал!$I$5:$I$16,$G70&amp;" "&amp;$E70))+ISNUMBER(SEARCH(Ангилал!$J$5:$J$16,$G70&amp;" "&amp;$E70))+ISNUMBER(SEARCH(Ангилал!$K$5:$K$16,$G70&amp;" "&amp;$E70))&gt;0,0),0)),"Ерөнхий нийт"))</f>
        <v>Ерөнхий нийт</v>
      </c>
      <c r="P70" s="2"/>
      <c r="Q70" s="2" t="str">
        <f aca="false">IF($G70="","",IF($P70&lt;&gt;"",$P70,$O70))</f>
        <v>Ерөнхий нийт</v>
      </c>
    </row>
    <row r="71" customFormat="false" ht="72" hidden="false" customHeight="true" outlineLevel="0" collapsed="false">
      <c r="A71" s="9" t="n">
        <v>60</v>
      </c>
      <c r="B71" s="10" t="s">
        <v>1344</v>
      </c>
      <c r="C71" s="10" t="s">
        <v>337</v>
      </c>
      <c r="D71" s="10" t="s">
        <v>1345</v>
      </c>
      <c r="E71" s="10" t="s">
        <v>1346</v>
      </c>
      <c r="F71" s="10" t="s">
        <v>337</v>
      </c>
      <c r="G71" s="10" t="s">
        <v>1334</v>
      </c>
      <c r="H71" s="10" t="s">
        <v>337</v>
      </c>
      <c r="I71" s="10" t="s">
        <v>1047</v>
      </c>
      <c r="J71" s="12" t="s">
        <v>1347</v>
      </c>
      <c r="K71" s="2"/>
      <c r="L71" s="2" t="str">
        <f aca="false" t="array" ref="L71:L71">IF($G71="","",IFERROR(INDEX(Ангилал!$A$5:$A$22,MATCH(TRUE(),INDEX(ISNUMBER(SEARCH(Ангилал!$B$5:$B$22,$G71&amp;" "&amp;$E71))+ISNUMBER(SEARCH(Ангилал!$C$5:$C$22,$G71&amp;" "&amp;$E71))+IF(Ангилал!$D$5:$D$22="",0,ISNUMBER(SEARCH(Ангилал!$D$5:$D$22,$G71&amp;" "&amp;$E71)))+IF(Ангилал!$E$5:$E$22="",0,ISNUMBER(SEARCH(Ангилал!$E$5:$E$22,$G71&amp;" "&amp;$E71)))&gt;0,0),0)),"Бусад"))</f>
        <v>Эрүүл, аюулгүй орчинд амьдрах эрх</v>
      </c>
      <c r="M71" s="2"/>
      <c r="N71" s="2" t="str">
        <f aca="false">IF($G71="","",IF($M71&lt;&gt;"",$M71,$L71))</f>
        <v>Эрүүл, аюулгүй орчинд амьдрах эрх</v>
      </c>
      <c r="O71" s="2" t="str">
        <f aca="false" t="array" ref="O71:O71">IF($G71="","",IFERROR(INDEX(Ангилал!$G$5:$G$16,MATCH(TRUE(),INDEX(ISNUMBER(SEARCH(Ангилал!$H$5:$H$16,$G71&amp;" "&amp;$E71))+ISNUMBER(SEARCH(Ангилал!$I$5:$I$16,$G71&amp;" "&amp;$E71))+ISNUMBER(SEARCH(Ангилал!$J$5:$J$16,$G71&amp;" "&amp;$E71))+ISNUMBER(SEARCH(Ангилал!$K$5:$K$16,$G71&amp;" "&amp;$E71))&gt;0,0),0)),"Ерөнхий нийт"))</f>
        <v>Ерөнхий нийт</v>
      </c>
      <c r="P71" s="2"/>
      <c r="Q71" s="2" t="str">
        <f aca="false">IF($G71="","",IF($P71&lt;&gt;"",$P71,$O71))</f>
        <v>Ерөнхий нийт</v>
      </c>
    </row>
    <row r="72" customFormat="false" ht="24" hidden="false" customHeight="true" outlineLevel="0" collapsed="false">
      <c r="A72" s="13" t="s">
        <v>344</v>
      </c>
      <c r="B72" s="13"/>
      <c r="C72" s="13"/>
      <c r="D72" s="13"/>
      <c r="E72" s="13"/>
      <c r="F72" s="13"/>
      <c r="G72" s="13"/>
      <c r="H72" s="13"/>
      <c r="I72" s="13"/>
      <c r="J72" s="13"/>
      <c r="K72" s="2"/>
      <c r="L72" s="2" t="str">
        <f aca="false" t="array" ref="L72:L72">IF($G72="","",IFERROR(INDEX(Ангилал!$A$5:$A$22,MATCH(TRUE(),INDEX(ISNUMBER(SEARCH(Ангилал!$B$5:$B$22,$G72&amp;" "&amp;$E72))+ISNUMBER(SEARCH(Ангилал!$C$5:$C$22,$G72&amp;" "&amp;$E72))+IF(Ангилал!$D$5:$D$22="",0,ISNUMBER(SEARCH(Ангилал!$D$5:$D$22,$G72&amp;" "&amp;$E72)))+IF(Ангилал!$E$5:$E$22="",0,ISNUMBER(SEARCH(Ангилал!$E$5:$E$22,$G72&amp;" "&amp;$E72)))&gt;0,0),0)),"Бусад"))</f>
        <v/>
      </c>
      <c r="M72" s="2"/>
      <c r="N72" s="2" t="str">
        <f aca="false">IF($G72="","",IF($M72&lt;&gt;"",$M72,$L72))</f>
        <v/>
      </c>
      <c r="O72" s="2" t="str">
        <f aca="false" t="array" ref="O72:O72">IF($G72="","",IFERROR(INDEX(Ангилал!$G$5:$G$16,MATCH(TRUE(),INDEX(ISNUMBER(SEARCH(Ангилал!$H$5:$H$16,$G72&amp;" "&amp;$E72))+ISNUMBER(SEARCH(Ангилал!$I$5:$I$16,$G72&amp;" "&amp;$E72))+ISNUMBER(SEARCH(Ангилал!$J$5:$J$16,$G72&amp;" "&amp;$E72))+ISNUMBER(SEARCH(Ангилал!$K$5:$K$16,$G72&amp;" "&amp;$E72))&gt;0,0),0)),"Ерөнхий нийт"))</f>
        <v/>
      </c>
      <c r="P72" s="2"/>
      <c r="Q72" s="2" t="str">
        <f aca="false">IF($G72="","",IF($P72&lt;&gt;"",$P72,$O72))</f>
        <v/>
      </c>
    </row>
    <row r="73" customFormat="false" ht="57.75" hidden="false" customHeight="true" outlineLevel="0" collapsed="false">
      <c r="A73" s="9" t="n">
        <v>61</v>
      </c>
      <c r="B73" s="10" t="s">
        <v>414</v>
      </c>
      <c r="C73" s="10" t="s">
        <v>1348</v>
      </c>
      <c r="D73" s="10" t="s">
        <v>1349</v>
      </c>
      <c r="E73" s="10" t="s">
        <v>1350</v>
      </c>
      <c r="F73" s="10" t="s">
        <v>1351</v>
      </c>
      <c r="G73" s="10" t="s">
        <v>1352</v>
      </c>
      <c r="H73" s="10" t="s">
        <v>1353</v>
      </c>
      <c r="I73" s="10" t="s">
        <v>1354</v>
      </c>
      <c r="J73" s="12" t="s">
        <v>1355</v>
      </c>
      <c r="K73" s="2"/>
      <c r="L73" s="2" t="str">
        <f aca="false" t="array" ref="L73:L73">IF($G73="","",IFERROR(INDEX(Ангилал!$A$5:$A$22,MATCH(TRUE(),INDEX(ISNUMBER(SEARCH(Ангилал!$B$5:$B$22,$G73&amp;" "&amp;$E73))+ISNUMBER(SEARCH(Ангилал!$C$5:$C$22,$G73&amp;" "&amp;$E73))+IF(Ангилал!$D$5:$D$22="",0,ISNUMBER(SEARCH(Ангилал!$D$5:$D$22,$G73&amp;" "&amp;$E73)))+IF(Ангилал!$E$5:$E$22="",0,ISNUMBER(SEARCH(Ангилал!$E$5:$E$22,$G73&amp;" "&amp;$E73)))&gt;0,0),0)),"Бусад"))</f>
        <v>Амьд явах, халдашгүй байх эрх</v>
      </c>
      <c r="M73" s="2"/>
      <c r="N73" s="2" t="str">
        <f aca="false">IF($G73="","",IF($M73&lt;&gt;"",$M73,$L73))</f>
        <v>Амьд явах, халдашгүй байх эрх</v>
      </c>
      <c r="O73" s="2" t="str">
        <f aca="false" t="array" ref="O73:O73">IF($G73="","",IFERROR(INDEX(Ангилал!$G$5:$G$16,MATCH(TRUE(),INDEX(ISNUMBER(SEARCH(Ангилал!$H$5:$H$16,$G73&amp;" "&amp;$E73))+ISNUMBER(SEARCH(Ангилал!$I$5:$I$16,$G73&amp;" "&amp;$E73))+ISNUMBER(SEARCH(Ангилал!$J$5:$J$16,$G73&amp;" "&amp;$E73))+ISNUMBER(SEARCH(Ангилал!$K$5:$K$16,$G73&amp;" "&amp;$E73))&gt;0,0),0)),"Ерөнхий нийт"))</f>
        <v>Эмэгтэйчүүд</v>
      </c>
      <c r="P73" s="2"/>
      <c r="Q73" s="2" t="str">
        <f aca="false">IF($G73="","",IF($P73&lt;&gt;"",$P73,$O73))</f>
        <v>Эмэгтэйчүүд</v>
      </c>
    </row>
    <row r="74" customFormat="false" ht="101.25" hidden="false" customHeight="true" outlineLevel="0" collapsed="false">
      <c r="A74" s="9" t="n">
        <v>62</v>
      </c>
      <c r="B74" s="10" t="s">
        <v>414</v>
      </c>
      <c r="C74" s="10" t="s">
        <v>336</v>
      </c>
      <c r="D74" s="10" t="s">
        <v>1356</v>
      </c>
      <c r="E74" s="12" t="s">
        <v>1357</v>
      </c>
      <c r="F74" s="10" t="s">
        <v>1358</v>
      </c>
      <c r="G74" s="10" t="s">
        <v>1359</v>
      </c>
      <c r="H74" s="10" t="s">
        <v>1360</v>
      </c>
      <c r="I74" s="10" t="s">
        <v>1361</v>
      </c>
      <c r="J74" s="12" t="s">
        <v>1362</v>
      </c>
      <c r="K74" s="2"/>
      <c r="L74" s="2" t="str">
        <f aca="false" t="array" ref="L74:L74">IF($G74="","",IFERROR(INDEX(Ангилал!$A$5:$A$22,MATCH(TRUE(),INDEX(ISNUMBER(SEARCH(Ангилал!$B$5:$B$22,$G74&amp;" "&amp;$E74))+ISNUMBER(SEARCH(Ангилал!$C$5:$C$22,$G74&amp;" "&amp;$E74))+IF(Ангилал!$D$5:$D$22="",0,ISNUMBER(SEARCH(Ангилал!$D$5:$D$22,$G74&amp;" "&amp;$E74)))+IF(Ангилал!$E$5:$E$22="",0,ISNUMBER(SEARCH(Ангилал!$E$5:$E$22,$G74&amp;" "&amp;$E74)))&gt;0,0),0)),"Бусад"))</f>
        <v>Хүчирхийлэл, бэлгийн дарамтаас ангид байх</v>
      </c>
      <c r="M74" s="2"/>
      <c r="N74" s="2" t="str">
        <f aca="false">IF($G74="","",IF($M74&lt;&gt;"",$M74,$L74))</f>
        <v>Хүчирхийлэл, бэлгийн дарамтаас ангид байх</v>
      </c>
      <c r="O74" s="2" t="str">
        <f aca="false" t="array" ref="O74:O74">IF($G74="","",IFERROR(INDEX(Ангилал!$G$5:$G$16,MATCH(TRUE(),INDEX(ISNUMBER(SEARCH(Ангилал!$H$5:$H$16,$G74&amp;" "&amp;$E74))+ISNUMBER(SEARCH(Ангилал!$I$5:$I$16,$G74&amp;" "&amp;$E74))+ISNUMBER(SEARCH(Ангилал!$J$5:$J$16,$G74&amp;" "&amp;$E74))+ISNUMBER(SEARCH(Ангилал!$K$5:$K$16,$G74&amp;" "&amp;$E74))&gt;0,0),0)),"Ерөнхий нийт"))</f>
        <v>Ерөнхий нийт</v>
      </c>
      <c r="P74" s="2"/>
      <c r="Q74" s="2" t="str">
        <f aca="false">IF($G74="","",IF($P74&lt;&gt;"",$P74,$O74))</f>
        <v>Ерөнхий нийт</v>
      </c>
    </row>
    <row r="75" customFormat="false" ht="86.25" hidden="false" customHeight="true" outlineLevel="0" collapsed="false">
      <c r="A75" s="9" t="n">
        <v>63</v>
      </c>
      <c r="B75" s="10" t="s">
        <v>367</v>
      </c>
      <c r="C75" s="10" t="s">
        <v>367</v>
      </c>
      <c r="D75" s="10" t="s">
        <v>1363</v>
      </c>
      <c r="E75" s="10" t="s">
        <v>1364</v>
      </c>
      <c r="F75" s="10" t="s">
        <v>1365</v>
      </c>
      <c r="G75" s="10" t="s">
        <v>1366</v>
      </c>
      <c r="H75" s="10" t="s">
        <v>1367</v>
      </c>
      <c r="I75" s="10" t="s">
        <v>1361</v>
      </c>
      <c r="J75" s="12" t="s">
        <v>1368</v>
      </c>
      <c r="K75" s="2"/>
      <c r="L75" s="2" t="str">
        <f aca="false" t="array" ref="L75:L75">IF($G75="","",IFERROR(INDEX(Ангилал!$A$5:$A$22,MATCH(TRUE(),INDEX(ISNUMBER(SEARCH(Ангилал!$B$5:$B$22,$G75&amp;" "&amp;$E75))+ISNUMBER(SEARCH(Ангилал!$C$5:$C$22,$G75&amp;" "&amp;$E75))+IF(Ангилал!$D$5:$D$22="",0,ISNUMBER(SEARCH(Ангилал!$D$5:$D$22,$G75&amp;" "&amp;$E75)))+IF(Ангилал!$E$5:$E$22="",0,ISNUMBER(SEARCH(Ангилал!$E$5:$E$22,$G75&amp;" "&amp;$E75)))&gt;0,0),0)),"Бусад"))</f>
        <v>Чөлөөтэй зорчих, эвлэлдэн нэгдэх эрх</v>
      </c>
      <c r="M75" s="2"/>
      <c r="N75" s="2" t="str">
        <f aca="false">IF($G75="","",IF($M75&lt;&gt;"",$M75,$L75))</f>
        <v>Чөлөөтэй зорчих, эвлэлдэн нэгдэх эрх</v>
      </c>
      <c r="O75" s="2" t="str">
        <f aca="false" t="array" ref="O75:O75">IF($G75="","",IFERROR(INDEX(Ангилал!$G$5:$G$16,MATCH(TRUE(),INDEX(ISNUMBER(SEARCH(Ангилал!$H$5:$H$16,$G75&amp;" "&amp;$E75))+ISNUMBER(SEARCH(Ангилал!$I$5:$I$16,$G75&amp;" "&amp;$E75))+ISNUMBER(SEARCH(Ангилал!$J$5:$J$16,$G75&amp;" "&amp;$E75))+ISNUMBER(SEARCH(Ангилал!$K$5:$K$16,$G75&amp;" "&amp;$E75))&gt;0,0),0)),"Ерөнхий нийт"))</f>
        <v>Ерөнхий нийт</v>
      </c>
      <c r="P75" s="2"/>
      <c r="Q75" s="2" t="str">
        <f aca="false">IF($G75="","",IF($P75&lt;&gt;"",$P75,$O75))</f>
        <v>Ерөнхий нийт</v>
      </c>
    </row>
    <row r="76" customFormat="false" ht="72" hidden="false" customHeight="true" outlineLevel="0" collapsed="false">
      <c r="A76" s="9" t="n">
        <v>64</v>
      </c>
      <c r="B76" s="10" t="s">
        <v>367</v>
      </c>
      <c r="C76" s="10" t="s">
        <v>367</v>
      </c>
      <c r="D76" s="10" t="s">
        <v>1369</v>
      </c>
      <c r="E76" s="10" t="s">
        <v>1370</v>
      </c>
      <c r="F76" s="10" t="s">
        <v>1371</v>
      </c>
      <c r="G76" s="10" t="s">
        <v>1168</v>
      </c>
      <c r="H76" s="10" t="s">
        <v>1372</v>
      </c>
      <c r="I76" s="10" t="s">
        <v>1361</v>
      </c>
      <c r="J76" s="12" t="s">
        <v>1368</v>
      </c>
      <c r="K76" s="2"/>
      <c r="L76" s="2" t="str">
        <f aca="false" t="array" ref="L76:L76">IF($G76="","",IFERROR(INDEX(Ангилал!$A$5:$A$22,MATCH(TRUE(),INDEX(ISNUMBER(SEARCH(Ангилал!$B$5:$B$22,$G76&amp;" "&amp;$E76))+ISNUMBER(SEARCH(Ангилал!$C$5:$C$22,$G76&amp;" "&amp;$E76))+IF(Ангилал!$D$5:$D$22="",0,ISNUMBER(SEARCH(Ангилал!$D$5:$D$22,$G76&amp;" "&amp;$E76)))+IF(Ангилал!$E$5:$E$22="",0,ISNUMBER(SEARCH(Ангилал!$E$5:$E$22,$G76&amp;" "&amp;$E76)))&gt;0,0),0)),"Бусад"))</f>
        <v>Бусад</v>
      </c>
      <c r="M76" s="2"/>
      <c r="N76" s="2" t="str">
        <f aca="false">IF($G76="","",IF($M76&lt;&gt;"",$M76,$L76))</f>
        <v>Бусад</v>
      </c>
      <c r="O76" s="2" t="str">
        <f aca="false" t="array" ref="O76:O76">IF($G76="","",IFERROR(INDEX(Ангилал!$G$5:$G$16,MATCH(TRUE(),INDEX(ISNUMBER(SEARCH(Ангилал!$H$5:$H$16,$G76&amp;" "&amp;$E76))+ISNUMBER(SEARCH(Ангилал!$I$5:$I$16,$G76&amp;" "&amp;$E76))+ISNUMBER(SEARCH(Ангилал!$J$5:$J$16,$G76&amp;" "&amp;$E76))+ISNUMBER(SEARCH(Ангилал!$K$5:$K$16,$G76&amp;" "&amp;$E76))&gt;0,0),0)),"Ерөнхий нийт"))</f>
        <v>Ерөнхий нийт</v>
      </c>
      <c r="P76" s="2"/>
      <c r="Q76" s="2" t="str">
        <f aca="false">IF($G76="","",IF($P76&lt;&gt;"",$P76,$O76))</f>
        <v>Ерөнхий нийт</v>
      </c>
    </row>
    <row r="77" customFormat="false" ht="24" hidden="false" customHeight="true" outlineLevel="0" collapsed="false">
      <c r="A77" s="13" t="s">
        <v>374</v>
      </c>
      <c r="B77" s="13"/>
      <c r="C77" s="13"/>
      <c r="D77" s="13"/>
      <c r="E77" s="13"/>
      <c r="F77" s="13"/>
      <c r="G77" s="13"/>
      <c r="H77" s="13"/>
      <c r="I77" s="13"/>
      <c r="J77" s="13"/>
      <c r="K77" s="2"/>
      <c r="L77" s="2" t="str">
        <f aca="false" t="array" ref="L77:L77">IF($G77="","",IFERROR(INDEX(Ангилал!$A$5:$A$22,MATCH(TRUE(),INDEX(ISNUMBER(SEARCH(Ангилал!$B$5:$B$22,$G77&amp;" "&amp;$E77))+ISNUMBER(SEARCH(Ангилал!$C$5:$C$22,$G77&amp;" "&amp;$E77))+IF(Ангилал!$D$5:$D$22="",0,ISNUMBER(SEARCH(Ангилал!$D$5:$D$22,$G77&amp;" "&amp;$E77)))+IF(Ангилал!$E$5:$E$22="",0,ISNUMBER(SEARCH(Ангилал!$E$5:$E$22,$G77&amp;" "&amp;$E77)))&gt;0,0),0)),"Бусад"))</f>
        <v/>
      </c>
      <c r="M77" s="2"/>
      <c r="N77" s="2" t="str">
        <f aca="false">IF($G77="","",IF($M77&lt;&gt;"",$M77,$L77))</f>
        <v/>
      </c>
      <c r="O77" s="2" t="str">
        <f aca="false" t="array" ref="O77:O77">IF($G77="","",IFERROR(INDEX(Ангилал!$G$5:$G$16,MATCH(TRUE(),INDEX(ISNUMBER(SEARCH(Ангилал!$H$5:$H$16,$G77&amp;" "&amp;$E77))+ISNUMBER(SEARCH(Ангилал!$I$5:$I$16,$G77&amp;" "&amp;$E77))+ISNUMBER(SEARCH(Ангилал!$J$5:$J$16,$G77&amp;" "&amp;$E77))+ISNUMBER(SEARCH(Ангилал!$K$5:$K$16,$G77&amp;" "&amp;$E77))&gt;0,0),0)),"Ерөнхий нийт"))</f>
        <v/>
      </c>
      <c r="P77" s="2"/>
      <c r="Q77" s="2" t="str">
        <f aca="false">IF($G77="","",IF($P77&lt;&gt;"",$P77,$O77))</f>
        <v/>
      </c>
    </row>
    <row r="78" customFormat="false" ht="72" hidden="false" customHeight="true" outlineLevel="0" collapsed="false">
      <c r="A78" s="9" t="n">
        <v>65</v>
      </c>
      <c r="B78" s="10" t="s">
        <v>1373</v>
      </c>
      <c r="C78" s="10" t="s">
        <v>1373</v>
      </c>
      <c r="D78" s="10" t="s">
        <v>1374</v>
      </c>
      <c r="E78" s="10" t="s">
        <v>1375</v>
      </c>
      <c r="F78" s="10" t="s">
        <v>1376</v>
      </c>
      <c r="G78" s="10" t="s">
        <v>1334</v>
      </c>
      <c r="H78" s="10" t="s">
        <v>337</v>
      </c>
      <c r="I78" s="10" t="s">
        <v>1292</v>
      </c>
      <c r="J78" s="12" t="s">
        <v>1377</v>
      </c>
      <c r="K78" s="2"/>
      <c r="L78" s="2" t="str">
        <f aca="false" t="array" ref="L78:L78">IF($G78="","",IFERROR(INDEX(Ангилал!$A$5:$A$22,MATCH(TRUE(),INDEX(ISNUMBER(SEARCH(Ангилал!$B$5:$B$22,$G78&amp;" "&amp;$E78))+ISNUMBER(SEARCH(Ангилал!$C$5:$C$22,$G78&amp;" "&amp;$E78))+IF(Ангилал!$D$5:$D$22="",0,ISNUMBER(SEARCH(Ангилал!$D$5:$D$22,$G78&amp;" "&amp;$E78)))+IF(Ангилал!$E$5:$E$22="",0,ISNUMBER(SEARCH(Ангилал!$E$5:$E$22,$G78&amp;" "&amp;$E78)))&gt;0,0),0)),"Бусад"))</f>
        <v>Бусад</v>
      </c>
      <c r="M78" s="2"/>
      <c r="N78" s="2" t="str">
        <f aca="false">IF($G78="","",IF($M78&lt;&gt;"",$M78,$L78))</f>
        <v>Бусад</v>
      </c>
      <c r="O78" s="2" t="str">
        <f aca="false" t="array" ref="O78:O78">IF($G78="","",IFERROR(INDEX(Ангилал!$G$5:$G$16,MATCH(TRUE(),INDEX(ISNUMBER(SEARCH(Ангилал!$H$5:$H$16,$G78&amp;" "&amp;$E78))+ISNUMBER(SEARCH(Ангилал!$I$5:$I$16,$G78&amp;" "&amp;$E78))+ISNUMBER(SEARCH(Ангилал!$J$5:$J$16,$G78&amp;" "&amp;$E78))+ISNUMBER(SEARCH(Ангилал!$K$5:$K$16,$G78&amp;" "&amp;$E78))&gt;0,0),0)),"Ерөнхий нийт"))</f>
        <v>Ерөнхий нийт</v>
      </c>
      <c r="P78" s="2"/>
      <c r="Q78" s="2" t="str">
        <f aca="false">IF($G78="","",IF($P78&lt;&gt;"",$P78,$O78))</f>
        <v>Ерөнхий нийт</v>
      </c>
    </row>
    <row r="79" customFormat="false" ht="72" hidden="false" customHeight="true" outlineLevel="0" collapsed="false">
      <c r="A79" s="9" t="n">
        <v>66</v>
      </c>
      <c r="B79" s="10" t="s">
        <v>1373</v>
      </c>
      <c r="C79" s="10" t="s">
        <v>375</v>
      </c>
      <c r="D79" s="10" t="s">
        <v>1378</v>
      </c>
      <c r="E79" s="10" t="s">
        <v>1379</v>
      </c>
      <c r="F79" s="10" t="s">
        <v>1380</v>
      </c>
      <c r="G79" s="10" t="s">
        <v>957</v>
      </c>
      <c r="H79" s="10" t="s">
        <v>337</v>
      </c>
      <c r="I79" s="10" t="s">
        <v>1088</v>
      </c>
      <c r="J79" s="12" t="s">
        <v>1381</v>
      </c>
      <c r="K79" s="2"/>
      <c r="L79" s="2" t="str">
        <f aca="false" t="array" ref="L79:L79">IF($G79="","",IFERROR(INDEX(Ангилал!$A$5:$A$22,MATCH(TRUE(),INDEX(ISNUMBER(SEARCH(Ангилал!$B$5:$B$22,$G79&amp;" "&amp;$E79))+ISNUMBER(SEARCH(Ангилал!$C$5:$C$22,$G79&amp;" "&amp;$E79))+IF(Ангилал!$D$5:$D$22="",0,ISNUMBER(SEARCH(Ангилал!$D$5:$D$22,$G79&amp;" "&amp;$E79)))+IF(Ангилал!$E$5:$E$22="",0,ISNUMBER(SEARCH(Ангилал!$E$5:$E$22,$G79&amp;" "&amp;$E79)))&gt;0,0),0)),"Бусад"))</f>
        <v>Хүүхдийн эрх</v>
      </c>
      <c r="M79" s="2"/>
      <c r="N79" s="2" t="str">
        <f aca="false">IF($G79="","",IF($M79&lt;&gt;"",$M79,$L79))</f>
        <v>Хүүхдийн эрх</v>
      </c>
      <c r="O79" s="2" t="str">
        <f aca="false" t="array" ref="O79:O79">IF($G79="","",IFERROR(INDEX(Ангилал!$G$5:$G$16,MATCH(TRUE(),INDEX(ISNUMBER(SEARCH(Ангилал!$H$5:$H$16,$G79&amp;" "&amp;$E79))+ISNUMBER(SEARCH(Ангилал!$I$5:$I$16,$G79&amp;" "&amp;$E79))+ISNUMBER(SEARCH(Ангилал!$J$5:$J$16,$G79&amp;" "&amp;$E79))+ISNUMBER(SEARCH(Ангилал!$K$5:$K$16,$G79&amp;" "&amp;$E79))&gt;0,0),0)),"Ерөнхий нийт"))</f>
        <v>Хүүхэд</v>
      </c>
      <c r="P79" s="2"/>
      <c r="Q79" s="2" t="str">
        <f aca="false">IF($G79="","",IF($P79&lt;&gt;"",$P79,$O79))</f>
        <v>Хүүхэд</v>
      </c>
    </row>
    <row r="80" customFormat="false" ht="57.75" hidden="false" customHeight="true" outlineLevel="0" collapsed="false">
      <c r="A80" s="9" t="n">
        <v>67</v>
      </c>
      <c r="B80" s="10" t="s">
        <v>390</v>
      </c>
      <c r="C80" s="10" t="s">
        <v>390</v>
      </c>
      <c r="D80" s="10" t="s">
        <v>1382</v>
      </c>
      <c r="E80" s="10" t="s">
        <v>1383</v>
      </c>
      <c r="F80" s="10" t="s">
        <v>1384</v>
      </c>
      <c r="G80" s="10" t="s">
        <v>337</v>
      </c>
      <c r="H80" s="10" t="s">
        <v>337</v>
      </c>
      <c r="I80" s="10" t="s">
        <v>1292</v>
      </c>
      <c r="J80" s="12" t="s">
        <v>1385</v>
      </c>
      <c r="K80" s="2"/>
      <c r="L80" s="2" t="str">
        <f aca="false" t="array" ref="L80:L80">IF($G80="","",IFERROR(INDEX(Ангилал!$A$5:$A$22,MATCH(TRUE(),INDEX(ISNUMBER(SEARCH(Ангилал!$B$5:$B$22,$G80&amp;" "&amp;$E80))+ISNUMBER(SEARCH(Ангилал!$C$5:$C$22,$G80&amp;" "&amp;$E80))+IF(Ангилал!$D$5:$D$22="",0,ISNUMBER(SEARCH(Ангилал!$D$5:$D$22,$G80&amp;" "&amp;$E80)))+IF(Ангилал!$E$5:$E$22="",0,ISNUMBER(SEARCH(Ангилал!$E$5:$E$22,$G80&amp;" "&amp;$E80)))&gt;0,0),0)),"Бусад"))</f>
        <v>Бусад</v>
      </c>
      <c r="M80" s="2"/>
      <c r="N80" s="2" t="str">
        <f aca="false">IF($G80="","",IF($M80&lt;&gt;"",$M80,$L80))</f>
        <v>Бусад</v>
      </c>
      <c r="O80" s="2" t="str">
        <f aca="false" t="array" ref="O80:O80">IF($G80="","",IFERROR(INDEX(Ангилал!$G$5:$G$16,MATCH(TRUE(),INDEX(ISNUMBER(SEARCH(Ангилал!$H$5:$H$16,$G80&amp;" "&amp;$E80))+ISNUMBER(SEARCH(Ангилал!$I$5:$I$16,$G80&amp;" "&amp;$E80))+ISNUMBER(SEARCH(Ангилал!$J$5:$J$16,$G80&amp;" "&amp;$E80))+ISNUMBER(SEARCH(Ангилал!$K$5:$K$16,$G80&amp;" "&amp;$E80))&gt;0,0),0)),"Ерөнхий нийт"))</f>
        <v>Ерөнхий нийт</v>
      </c>
      <c r="P80" s="2"/>
      <c r="Q80" s="2" t="str">
        <f aca="false">IF($G80="","",IF($P80&lt;&gt;"",$P80,$O80))</f>
        <v>Ерөнхий нийт</v>
      </c>
    </row>
    <row r="81" customFormat="false" ht="115.5" hidden="false" customHeight="true" outlineLevel="0" collapsed="false">
      <c r="A81" s="9" t="n">
        <v>68</v>
      </c>
      <c r="B81" s="10" t="s">
        <v>390</v>
      </c>
      <c r="C81" s="10" t="s">
        <v>390</v>
      </c>
      <c r="D81" s="10" t="s">
        <v>1386</v>
      </c>
      <c r="E81" s="10" t="s">
        <v>1387</v>
      </c>
      <c r="F81" s="10" t="s">
        <v>337</v>
      </c>
      <c r="G81" s="10" t="s">
        <v>337</v>
      </c>
      <c r="H81" s="10" t="s">
        <v>337</v>
      </c>
      <c r="I81" s="10" t="s">
        <v>1047</v>
      </c>
      <c r="J81" s="12" t="s">
        <v>1388</v>
      </c>
      <c r="K81" s="2"/>
      <c r="L81" s="2" t="str">
        <f aca="false" t="array" ref="L81:L81">IF($G81="","",IFERROR(INDEX(Ангилал!$A$5:$A$22,MATCH(TRUE(),INDEX(ISNUMBER(SEARCH(Ангилал!$B$5:$B$22,$G81&amp;" "&amp;$E81))+ISNUMBER(SEARCH(Ангилал!$C$5:$C$22,$G81&amp;" "&amp;$E81))+IF(Ангилал!$D$5:$D$22="",0,ISNUMBER(SEARCH(Ангилал!$D$5:$D$22,$G81&amp;" "&amp;$E81)))+IF(Ангилал!$E$5:$E$22="",0,ISNUMBER(SEARCH(Ангилал!$E$5:$E$22,$G81&amp;" "&amp;$E81)))&gt;0,0),0)),"Бусад"))</f>
        <v>Шашин шүтэх эрх</v>
      </c>
      <c r="M81" s="2"/>
      <c r="N81" s="2" t="str">
        <f aca="false">IF($G81="","",IF($M81&lt;&gt;"",$M81,$L81))</f>
        <v>Шашин шүтэх эрх</v>
      </c>
      <c r="O81" s="2" t="str">
        <f aca="false" t="array" ref="O81:O81">IF($G81="","",IFERROR(INDEX(Ангилал!$G$5:$G$16,MATCH(TRUE(),INDEX(ISNUMBER(SEARCH(Ангилал!$H$5:$H$16,$G81&amp;" "&amp;$E81))+ISNUMBER(SEARCH(Ангилал!$I$5:$I$16,$G81&amp;" "&amp;$E81))+ISNUMBER(SEARCH(Ангилал!$J$5:$J$16,$G81&amp;" "&amp;$E81))+ISNUMBER(SEARCH(Ангилал!$K$5:$K$16,$G81&amp;" "&amp;$E81))&gt;0,0),0)),"Ерөнхий нийт"))</f>
        <v>Ерөнхий нийт</v>
      </c>
      <c r="P81" s="2"/>
      <c r="Q81" s="2" t="str">
        <f aca="false">IF($G81="","",IF($P81&lt;&gt;"",$P81,$O81))</f>
        <v>Ерөнхий нийт</v>
      </c>
    </row>
    <row r="82" customFormat="false" ht="101.25" hidden="false" customHeight="true" outlineLevel="0" collapsed="false">
      <c r="A82" s="9" t="n">
        <v>69</v>
      </c>
      <c r="B82" s="10" t="s">
        <v>397</v>
      </c>
      <c r="C82" s="10" t="s">
        <v>397</v>
      </c>
      <c r="D82" s="10" t="s">
        <v>1389</v>
      </c>
      <c r="E82" s="10" t="s">
        <v>1390</v>
      </c>
      <c r="F82" s="10" t="s">
        <v>1391</v>
      </c>
      <c r="G82" s="10" t="s">
        <v>957</v>
      </c>
      <c r="H82" s="10" t="s">
        <v>337</v>
      </c>
      <c r="I82" s="10" t="s">
        <v>1047</v>
      </c>
      <c r="J82" s="12" t="s">
        <v>1392</v>
      </c>
      <c r="K82" s="2"/>
      <c r="L82" s="2" t="str">
        <f aca="false" t="array" ref="L82:L82">IF($G82="","",IFERROR(INDEX(Ангилал!$A$5:$A$22,MATCH(TRUE(),INDEX(ISNUMBER(SEARCH(Ангилал!$B$5:$B$22,$G82&amp;" "&amp;$E82))+ISNUMBER(SEARCH(Ангилал!$C$5:$C$22,$G82&amp;" "&amp;$E82))+IF(Ангилал!$D$5:$D$22="",0,ISNUMBER(SEARCH(Ангилал!$D$5:$D$22,$G82&amp;" "&amp;$E82)))+IF(Ангилал!$E$5:$E$22="",0,ISNUMBER(SEARCH(Ангилал!$E$5:$E$22,$G82&amp;" "&amp;$E82)))&gt;0,0),0)),"Бусад"))</f>
        <v>Хүүхдийн эрх</v>
      </c>
      <c r="M82" s="2"/>
      <c r="N82" s="2" t="str">
        <f aca="false">IF($G82="","",IF($M82&lt;&gt;"",$M82,$L82))</f>
        <v>Хүүхдийн эрх</v>
      </c>
      <c r="O82" s="2" t="str">
        <f aca="false" t="array" ref="O82:O82">IF($G82="","",IFERROR(INDEX(Ангилал!$G$5:$G$16,MATCH(TRUE(),INDEX(ISNUMBER(SEARCH(Ангилал!$H$5:$H$16,$G82&amp;" "&amp;$E82))+ISNUMBER(SEARCH(Ангилал!$I$5:$I$16,$G82&amp;" "&amp;$E82))+ISNUMBER(SEARCH(Ангилал!$J$5:$J$16,$G82&amp;" "&amp;$E82))+ISNUMBER(SEARCH(Ангилал!$K$5:$K$16,$G82&amp;" "&amp;$E82))&gt;0,0),0)),"Ерөнхий нийт"))</f>
        <v>Хүүхэд</v>
      </c>
      <c r="P82" s="2"/>
      <c r="Q82" s="2" t="str">
        <f aca="false">IF($G82="","",IF($P82&lt;&gt;"",$P82,$O82))</f>
        <v>Хүүхэд</v>
      </c>
    </row>
    <row r="83" customFormat="false" ht="72" hidden="false" customHeight="true" outlineLevel="0" collapsed="false">
      <c r="A83" s="9" t="n">
        <v>70</v>
      </c>
      <c r="B83" s="10" t="s">
        <v>1393</v>
      </c>
      <c r="C83" s="10" t="s">
        <v>1393</v>
      </c>
      <c r="D83" s="10" t="s">
        <v>1394</v>
      </c>
      <c r="E83" s="10" t="s">
        <v>1395</v>
      </c>
      <c r="F83" s="10" t="s">
        <v>259</v>
      </c>
      <c r="G83" s="10" t="s">
        <v>337</v>
      </c>
      <c r="H83" s="10" t="s">
        <v>337</v>
      </c>
      <c r="I83" s="10" t="s">
        <v>1292</v>
      </c>
      <c r="J83" s="12" t="s">
        <v>1396</v>
      </c>
      <c r="K83" s="2"/>
      <c r="L83" s="2" t="str">
        <f aca="false" t="array" ref="L83:L83">IF($G83="","",IFERROR(INDEX(Ангилал!$A$5:$A$22,MATCH(TRUE(),INDEX(ISNUMBER(SEARCH(Ангилал!$B$5:$B$22,$G83&amp;" "&amp;$E83))+ISNUMBER(SEARCH(Ангилал!$C$5:$C$22,$G83&amp;" "&amp;$E83))+IF(Ангилал!$D$5:$D$22="",0,ISNUMBER(SEARCH(Ангилал!$D$5:$D$22,$G83&amp;" "&amp;$E83)))+IF(Ангилал!$E$5:$E$22="",0,ISNUMBER(SEARCH(Ангилал!$E$5:$E$22,$G83&amp;" "&amp;$E83)))&gt;0,0),0)),"Бусад"))</f>
        <v>Бусад</v>
      </c>
      <c r="M83" s="2"/>
      <c r="N83" s="2" t="str">
        <f aca="false">IF($G83="","",IF($M83&lt;&gt;"",$M83,$L83))</f>
        <v>Бусад</v>
      </c>
      <c r="O83" s="2" t="str">
        <f aca="false" t="array" ref="O83:O83">IF($G83="","",IFERROR(INDEX(Ангилал!$G$5:$G$16,MATCH(TRUE(),INDEX(ISNUMBER(SEARCH(Ангилал!$H$5:$H$16,$G83&amp;" "&amp;$E83))+ISNUMBER(SEARCH(Ангилал!$I$5:$I$16,$G83&amp;" "&amp;$E83))+ISNUMBER(SEARCH(Ангилал!$J$5:$J$16,$G83&amp;" "&amp;$E83))+ISNUMBER(SEARCH(Ангилал!$K$5:$K$16,$G83&amp;" "&amp;$E83))&gt;0,0),0)),"Ерөнхий нийт"))</f>
        <v>Ерөнхий нийт</v>
      </c>
      <c r="P83" s="2"/>
      <c r="Q83" s="2" t="str">
        <f aca="false">IF($G83="","",IF($P83&lt;&gt;"",$P83,$O83))</f>
        <v>Ерөнхий нийт</v>
      </c>
    </row>
    <row r="84" customFormat="false" ht="24" hidden="false" customHeight="true" outlineLevel="0" collapsed="false">
      <c r="A84" s="13" t="s">
        <v>1397</v>
      </c>
      <c r="B84" s="13"/>
      <c r="C84" s="13"/>
      <c r="D84" s="13"/>
      <c r="E84" s="13"/>
      <c r="F84" s="13"/>
      <c r="G84" s="13"/>
      <c r="H84" s="13"/>
      <c r="I84" s="13"/>
      <c r="J84" s="13"/>
      <c r="K84" s="2"/>
      <c r="L84" s="2" t="str">
        <f aca="false" t="array" ref="L84:L84">IF($G84="","",IFERROR(INDEX(Ангилал!$A$5:$A$22,MATCH(TRUE(),INDEX(ISNUMBER(SEARCH(Ангилал!$B$5:$B$22,$G84&amp;" "&amp;$E84))+ISNUMBER(SEARCH(Ангилал!$C$5:$C$22,$G84&amp;" "&amp;$E84))+IF(Ангилал!$D$5:$D$22="",0,ISNUMBER(SEARCH(Ангилал!$D$5:$D$22,$G84&amp;" "&amp;$E84)))+IF(Ангилал!$E$5:$E$22="",0,ISNUMBER(SEARCH(Ангилал!$E$5:$E$22,$G84&amp;" "&amp;$E84)))&gt;0,0),0)),"Бусад"))</f>
        <v/>
      </c>
      <c r="M84" s="2"/>
      <c r="N84" s="2" t="str">
        <f aca="false">IF($G84="","",IF($M84&lt;&gt;"",$M84,$L84))</f>
        <v/>
      </c>
      <c r="O84" s="2" t="str">
        <f aca="false" t="array" ref="O84:O84">IF($G84="","",IFERROR(INDEX(Ангилал!$G$5:$G$16,MATCH(TRUE(),INDEX(ISNUMBER(SEARCH(Ангилал!$H$5:$H$16,$G84&amp;" "&amp;$E84))+ISNUMBER(SEARCH(Ангилал!$I$5:$I$16,$G84&amp;" "&amp;$E84))+ISNUMBER(SEARCH(Ангилал!$J$5:$J$16,$G84&amp;" "&amp;$E84))+ISNUMBER(SEARCH(Ангилал!$K$5:$K$16,$G84&amp;" "&amp;$E84))&gt;0,0),0)),"Ерөнхий нийт"))</f>
        <v/>
      </c>
      <c r="P84" s="2"/>
      <c r="Q84" s="2" t="str">
        <f aca="false">IF($G84="","",IF($P84&lt;&gt;"",$P84,$O84))</f>
        <v/>
      </c>
    </row>
    <row r="85" customFormat="false" ht="72" hidden="false" customHeight="true" outlineLevel="0" collapsed="false">
      <c r="A85" s="9" t="n">
        <v>71</v>
      </c>
      <c r="B85" s="10" t="s">
        <v>1398</v>
      </c>
      <c r="C85" s="10" t="s">
        <v>1398</v>
      </c>
      <c r="D85" s="10" t="s">
        <v>1399</v>
      </c>
      <c r="E85" s="10" t="s">
        <v>1400</v>
      </c>
      <c r="F85" s="10" t="s">
        <v>1401</v>
      </c>
      <c r="G85" s="10" t="s">
        <v>1402</v>
      </c>
      <c r="H85" s="10" t="s">
        <v>1403</v>
      </c>
      <c r="I85" s="10" t="s">
        <v>1404</v>
      </c>
      <c r="J85" s="12" t="s">
        <v>1405</v>
      </c>
      <c r="K85" s="2"/>
      <c r="L85" s="2" t="str">
        <f aca="false" t="array" ref="L85:L85">IF($G85="","",IFERROR(INDEX(Ангилал!$A$5:$A$22,MATCH(TRUE(),INDEX(ISNUMBER(SEARCH(Ангилал!$B$5:$B$22,$G85&amp;" "&amp;$E85))+ISNUMBER(SEARCH(Ангилал!$C$5:$C$22,$G85&amp;" "&amp;$E85))+IF(Ангилал!$D$5:$D$22="",0,ISNUMBER(SEARCH(Ангилал!$D$5:$D$22,$G85&amp;" "&amp;$E85)))+IF(Ангилал!$E$5:$E$22="",0,ISNUMBER(SEARCH(Ангилал!$E$5:$E$22,$G85&amp;" "&amp;$E85)))&gt;0,0),0)),"Бусад"))</f>
        <v>Амьд явах, халдашгүй байх эрх</v>
      </c>
      <c r="M85" s="2"/>
      <c r="N85" s="2" t="str">
        <f aca="false">IF($G85="","",IF($M85&lt;&gt;"",$M85,$L85))</f>
        <v>Амьд явах, халдашгүй байх эрх</v>
      </c>
      <c r="O85" s="2" t="str">
        <f aca="false" t="array" ref="O85:O85">IF($G85="","",IFERROR(INDEX(Ангилал!$G$5:$G$16,MATCH(TRUE(),INDEX(ISNUMBER(SEARCH(Ангилал!$H$5:$H$16,$G85&amp;" "&amp;$E85))+ISNUMBER(SEARCH(Ангилал!$I$5:$I$16,$G85&amp;" "&amp;$E85))+ISNUMBER(SEARCH(Ангилал!$J$5:$J$16,$G85&amp;" "&amp;$E85))+ISNUMBER(SEARCH(Ангилал!$K$5:$K$16,$G85&amp;" "&amp;$E85))&gt;0,0),0)),"Ерөнхий нийт"))</f>
        <v>Эмэгтэйчүүд</v>
      </c>
      <c r="P85" s="2"/>
      <c r="Q85" s="2" t="str">
        <f aca="false">IF($G85="","",IF($P85&lt;&gt;"",$P85,$O85))</f>
        <v>Эмэгтэйчүүд</v>
      </c>
    </row>
    <row r="86" customFormat="false" ht="72" hidden="false" customHeight="true" outlineLevel="0" collapsed="false">
      <c r="A86" s="9" t="n">
        <v>72</v>
      </c>
      <c r="B86" s="10" t="s">
        <v>1406</v>
      </c>
      <c r="C86" s="10" t="s">
        <v>1406</v>
      </c>
      <c r="D86" s="10" t="s">
        <v>1407</v>
      </c>
      <c r="E86" s="10" t="s">
        <v>1408</v>
      </c>
      <c r="F86" s="10" t="s">
        <v>1409</v>
      </c>
      <c r="G86" s="10" t="s">
        <v>1410</v>
      </c>
      <c r="H86" s="10" t="s">
        <v>1411</v>
      </c>
      <c r="I86" s="10" t="s">
        <v>1412</v>
      </c>
      <c r="J86" s="12" t="s">
        <v>1413</v>
      </c>
      <c r="K86" s="2"/>
      <c r="L86" s="2" t="str">
        <f aca="false" t="array" ref="L86:L86">IF($G86="","",IFERROR(INDEX(Ангилал!$A$5:$A$22,MATCH(TRUE(),INDEX(ISNUMBER(SEARCH(Ангилал!$B$5:$B$22,$G86&amp;" "&amp;$E86))+ISNUMBER(SEARCH(Ангилал!$C$5:$C$22,$G86&amp;" "&amp;$E86))+IF(Ангилал!$D$5:$D$22="",0,ISNUMBER(SEARCH(Ангилал!$D$5:$D$22,$G86&amp;" "&amp;$E86)))+IF(Ангилал!$E$5:$E$22="",0,ISNUMBER(SEARCH(Ангилал!$E$5:$E$22,$G86&amp;" "&amp;$E86)))&gt;0,0),0)),"Бусад"))</f>
        <v>Үзэл бодлоо илэрхийлэх, мэдээллийн эрх</v>
      </c>
      <c r="M86" s="2"/>
      <c r="N86" s="2" t="str">
        <f aca="false">IF($G86="","",IF($M86&lt;&gt;"",$M86,$L86))</f>
        <v>Үзэл бодлоо илэрхийлэх, мэдээллийн эрх</v>
      </c>
      <c r="O86" s="2" t="str">
        <f aca="false" t="array" ref="O86:O86">IF($G86="","",IFERROR(INDEX(Ангилал!$G$5:$G$16,MATCH(TRUE(),INDEX(ISNUMBER(SEARCH(Ангилал!$H$5:$H$16,$G86&amp;" "&amp;$E86))+ISNUMBER(SEARCH(Ангилал!$I$5:$I$16,$G86&amp;" "&amp;$E86))+ISNUMBER(SEARCH(Ангилал!$J$5:$J$16,$G86&amp;" "&amp;$E86))+ISNUMBER(SEARCH(Ангилал!$K$5:$K$16,$G86&amp;" "&amp;$E86))&gt;0,0),0)),"Ерөнхий нийт"))</f>
        <v>Эмэгтэйчүүд</v>
      </c>
      <c r="P86" s="2"/>
      <c r="Q86" s="2" t="str">
        <f aca="false">IF($G86="","",IF($P86&lt;&gt;"",$P86,$O86))</f>
        <v>Эмэгтэйчүүд</v>
      </c>
    </row>
    <row r="87" customFormat="false" ht="57.75" hidden="false" customHeight="true" outlineLevel="0" collapsed="false">
      <c r="A87" s="9" t="n">
        <v>73</v>
      </c>
      <c r="B87" s="10" t="s">
        <v>1414</v>
      </c>
      <c r="C87" s="10" t="s">
        <v>1414</v>
      </c>
      <c r="D87" s="10" t="s">
        <v>1415</v>
      </c>
      <c r="E87" s="10" t="s">
        <v>1416</v>
      </c>
      <c r="F87" s="10" t="s">
        <v>1417</v>
      </c>
      <c r="G87" s="10" t="s">
        <v>1418</v>
      </c>
      <c r="H87" s="10" t="s">
        <v>1419</v>
      </c>
      <c r="I87" s="10" t="s">
        <v>1420</v>
      </c>
      <c r="J87" s="12" t="s">
        <v>1421</v>
      </c>
      <c r="K87" s="2"/>
      <c r="L87" s="2" t="str">
        <f aca="false" t="array" ref="L87:L87">IF($G87="","",IFERROR(INDEX(Ангилал!$A$5:$A$22,MATCH(TRUE(),INDEX(ISNUMBER(SEARCH(Ангилал!$B$5:$B$22,$G87&amp;" "&amp;$E87))+ISNUMBER(SEARCH(Ангилал!$C$5:$C$22,$G87&amp;" "&amp;$E87))+IF(Ангилал!$D$5:$D$22="",0,ISNUMBER(SEARCH(Ангилал!$D$5:$D$22,$G87&amp;" "&amp;$E87)))+IF(Ангилал!$E$5:$E$22="",0,ISNUMBER(SEARCH(Ангилал!$E$5:$E$22,$G87&amp;" "&amp;$E87)))&gt;0,0),0)),"Бусад"))</f>
        <v>Хүүхдийн эрх</v>
      </c>
      <c r="M87" s="2"/>
      <c r="N87" s="2" t="str">
        <f aca="false">IF($G87="","",IF($M87&lt;&gt;"",$M87,$L87))</f>
        <v>Хүүхдийн эрх</v>
      </c>
      <c r="O87" s="2" t="str">
        <f aca="false" t="array" ref="O87:O87">IF($G87="","",IFERROR(INDEX(Ангилал!$G$5:$G$16,MATCH(TRUE(),INDEX(ISNUMBER(SEARCH(Ангилал!$H$5:$H$16,$G87&amp;" "&amp;$E87))+ISNUMBER(SEARCH(Ангилал!$I$5:$I$16,$G87&amp;" "&amp;$E87))+ISNUMBER(SEARCH(Ангилал!$J$5:$J$16,$G87&amp;" "&amp;$E87))+ISNUMBER(SEARCH(Ангилал!$K$5:$K$16,$G87&amp;" "&amp;$E87))&gt;0,0),0)),"Ерөнхий нийт"))</f>
        <v>Хүүхэд</v>
      </c>
      <c r="P87" s="2"/>
      <c r="Q87" s="2" t="str">
        <f aca="false">IF($G87="","",IF($P87&lt;&gt;"",$P87,$O87))</f>
        <v>Хүүхэд</v>
      </c>
    </row>
    <row r="88" customFormat="false" ht="72" hidden="false" customHeight="true" outlineLevel="0" collapsed="false">
      <c r="A88" s="9" t="n">
        <v>74</v>
      </c>
      <c r="B88" s="10" t="s">
        <v>1406</v>
      </c>
      <c r="C88" s="10" t="s">
        <v>1406</v>
      </c>
      <c r="D88" s="10" t="s">
        <v>1422</v>
      </c>
      <c r="E88" s="10" t="s">
        <v>1423</v>
      </c>
      <c r="F88" s="10" t="s">
        <v>1424</v>
      </c>
      <c r="G88" s="10" t="s">
        <v>1425</v>
      </c>
      <c r="H88" s="10" t="s">
        <v>1426</v>
      </c>
      <c r="I88" s="10" t="s">
        <v>1412</v>
      </c>
      <c r="J88" s="12" t="s">
        <v>1427</v>
      </c>
      <c r="K88" s="2"/>
      <c r="L88" s="2" t="str">
        <f aca="false" t="array" ref="L88:L88">IF($G88="","",IFERROR(INDEX(Ангилал!$A$5:$A$22,MATCH(TRUE(),INDEX(ISNUMBER(SEARCH(Ангилал!$B$5:$B$22,$G88&amp;" "&amp;$E88))+ISNUMBER(SEARCH(Ангилал!$C$5:$C$22,$G88&amp;" "&amp;$E88))+IF(Ангилал!$D$5:$D$22="",0,ISNUMBER(SEARCH(Ангилал!$D$5:$D$22,$G88&amp;" "&amp;$E88)))+IF(Ангилал!$E$5:$E$22="",0,ISNUMBER(SEARCH(Ангилал!$E$5:$E$22,$G88&amp;" "&amp;$E88)))&gt;0,0),0)),"Бусад"))</f>
        <v>Эрүүдэн шүүлт, хүнлэг бус харьцаа</v>
      </c>
      <c r="M88" s="2"/>
      <c r="N88" s="2" t="str">
        <f aca="false">IF($G88="","",IF($M88&lt;&gt;"",$M88,$L88))</f>
        <v>Эрүүдэн шүүлт, хүнлэг бус харьцаа</v>
      </c>
      <c r="O88" s="2" t="str">
        <f aca="false" t="array" ref="O88:O88">IF($G88="","",IFERROR(INDEX(Ангилал!$G$5:$G$16,MATCH(TRUE(),INDEX(ISNUMBER(SEARCH(Ангилал!$H$5:$H$16,$G88&amp;" "&amp;$E88))+ISNUMBER(SEARCH(Ангилал!$I$5:$I$16,$G88&amp;" "&amp;$E88))+ISNUMBER(SEARCH(Ангилал!$J$5:$J$16,$G88&amp;" "&amp;$E88))+ISNUMBER(SEARCH(Ангилал!$K$5:$K$16,$G88&amp;" "&amp;$E88))&gt;0,0),0)),"Ерөнхий нийт"))</f>
        <v>Дүрвэгсэд, цагаачид</v>
      </c>
      <c r="P88" s="2"/>
      <c r="Q88" s="2" t="str">
        <f aca="false">IF($G88="","",IF($P88&lt;&gt;"",$P88,$O88))</f>
        <v>Дүрвэгсэд, цагаачид</v>
      </c>
    </row>
    <row r="89" customFormat="false" ht="57.75" hidden="false" customHeight="true" outlineLevel="0" collapsed="false">
      <c r="A89" s="9" t="n">
        <v>75</v>
      </c>
      <c r="B89" s="10" t="s">
        <v>1398</v>
      </c>
      <c r="C89" s="10" t="s">
        <v>1398</v>
      </c>
      <c r="D89" s="10" t="s">
        <v>1428</v>
      </c>
      <c r="E89" s="10" t="s">
        <v>1429</v>
      </c>
      <c r="F89" s="10" t="s">
        <v>1430</v>
      </c>
      <c r="G89" s="10" t="s">
        <v>1431</v>
      </c>
      <c r="H89" s="10" t="s">
        <v>1432</v>
      </c>
      <c r="I89" s="10" t="s">
        <v>1412</v>
      </c>
      <c r="J89" s="12" t="s">
        <v>1433</v>
      </c>
      <c r="K89" s="2"/>
      <c r="L89" s="2" t="str">
        <f aca="false" t="array" ref="L89:L89">IF($G89="","",IFERROR(INDEX(Ангилал!$A$5:$A$22,MATCH(TRUE(),INDEX(ISNUMBER(SEARCH(Ангилал!$B$5:$B$22,$G89&amp;" "&amp;$E89))+ISNUMBER(SEARCH(Ангилал!$C$5:$C$22,$G89&amp;" "&amp;$E89))+IF(Ангилал!$D$5:$D$22="",0,ISNUMBER(SEARCH(Ангилал!$D$5:$D$22,$G89&amp;" "&amp;$E89)))+IF(Ангилал!$E$5:$E$22="",0,ISNUMBER(SEARCH(Ангилал!$E$5:$E$22,$G89&amp;" "&amp;$E89)))&gt;0,0),0)),"Бусад"))</f>
        <v>Амьд явах, халдашгүй байх эрх</v>
      </c>
      <c r="M89" s="2"/>
      <c r="N89" s="2" t="str">
        <f aca="false">IF($G89="","",IF($M89&lt;&gt;"",$M89,$L89))</f>
        <v>Амьд явах, халдашгүй байх эрх</v>
      </c>
      <c r="O89" s="2" t="str">
        <f aca="false" t="array" ref="O89:O89">IF($G89="","",IFERROR(INDEX(Ангилал!$G$5:$G$16,MATCH(TRUE(),INDEX(ISNUMBER(SEARCH(Ангилал!$H$5:$H$16,$G89&amp;" "&amp;$E89))+ISNUMBER(SEARCH(Ангилал!$I$5:$I$16,$G89&amp;" "&amp;$E89))+ISNUMBER(SEARCH(Ангилал!$J$5:$J$16,$G89&amp;" "&amp;$E89))+ISNUMBER(SEARCH(Ангилал!$K$5:$K$16,$G89&amp;" "&amp;$E89))&gt;0,0),0)),"Ерөнхий нийт"))</f>
        <v>Ерөнхий нийт</v>
      </c>
      <c r="P89" s="2"/>
      <c r="Q89" s="2" t="str">
        <f aca="false">IF($G89="","",IF($P89&lt;&gt;"",$P89,$O89))</f>
        <v>Ерөнхий нийт</v>
      </c>
    </row>
    <row r="90" customFormat="false" ht="24" hidden="false" customHeight="true" outlineLevel="0" collapsed="false">
      <c r="A90" s="13" t="s">
        <v>412</v>
      </c>
      <c r="B90" s="13"/>
      <c r="C90" s="13"/>
      <c r="D90" s="13"/>
      <c r="E90" s="13"/>
      <c r="F90" s="13"/>
      <c r="G90" s="13"/>
      <c r="H90" s="13"/>
      <c r="I90" s="13"/>
      <c r="J90" s="13"/>
      <c r="K90" s="2"/>
      <c r="L90" s="2" t="str">
        <f aca="false" t="array" ref="L90:L90">IF($G90="","",IFERROR(INDEX(Ангилал!$A$5:$A$22,MATCH(TRUE(),INDEX(ISNUMBER(SEARCH(Ангилал!$B$5:$B$22,$G90&amp;" "&amp;$E90))+ISNUMBER(SEARCH(Ангилал!$C$5:$C$22,$G90&amp;" "&amp;$E90))+IF(Ангилал!$D$5:$D$22="",0,ISNUMBER(SEARCH(Ангилал!$D$5:$D$22,$G90&amp;" "&amp;$E90)))+IF(Ангилал!$E$5:$E$22="",0,ISNUMBER(SEARCH(Ангилал!$E$5:$E$22,$G90&amp;" "&amp;$E90)))&gt;0,0),0)),"Бусад"))</f>
        <v/>
      </c>
      <c r="M90" s="2"/>
      <c r="N90" s="2" t="str">
        <f aca="false">IF($G90="","",IF($M90&lt;&gt;"",$M90,$L90))</f>
        <v/>
      </c>
      <c r="O90" s="2" t="str">
        <f aca="false" t="array" ref="O90:O90">IF($G90="","",IFERROR(INDEX(Ангилал!$G$5:$G$16,MATCH(TRUE(),INDEX(ISNUMBER(SEARCH(Ангилал!$H$5:$H$16,$G90&amp;" "&amp;$E90))+ISNUMBER(SEARCH(Ангилал!$I$5:$I$16,$G90&amp;" "&amp;$E90))+ISNUMBER(SEARCH(Ангилал!$J$5:$J$16,$G90&amp;" "&amp;$E90))+ISNUMBER(SEARCH(Ангилал!$K$5:$K$16,$G90&amp;" "&amp;$E90))&gt;0,0),0)),"Ерөнхий нийт"))</f>
        <v/>
      </c>
      <c r="P90" s="2"/>
      <c r="Q90" s="2" t="str">
        <f aca="false">IF($G90="","",IF($P90&lt;&gt;"",$P90,$O90))</f>
        <v/>
      </c>
    </row>
    <row r="91" customFormat="false" ht="115.5" hidden="false" customHeight="true" outlineLevel="0" collapsed="false">
      <c r="A91" s="9" t="n">
        <v>76</v>
      </c>
      <c r="B91" s="10" t="s">
        <v>1398</v>
      </c>
      <c r="C91" s="10" t="s">
        <v>1398</v>
      </c>
      <c r="D91" s="10" t="s">
        <v>1434</v>
      </c>
      <c r="E91" s="10" t="s">
        <v>1435</v>
      </c>
      <c r="F91" s="10" t="s">
        <v>337</v>
      </c>
      <c r="G91" s="10" t="s">
        <v>1436</v>
      </c>
      <c r="H91" s="10" t="s">
        <v>337</v>
      </c>
      <c r="I91" s="10" t="s">
        <v>1437</v>
      </c>
      <c r="J91" s="12" t="s">
        <v>1438</v>
      </c>
      <c r="K91" s="2"/>
      <c r="L91" s="2" t="str">
        <f aca="false" t="array" ref="L91:L91">IF($G91="","",IFERROR(INDEX(Ангилал!$A$5:$A$22,MATCH(TRUE(),INDEX(ISNUMBER(SEARCH(Ангилал!$B$5:$B$22,$G91&amp;" "&amp;$E91))+ISNUMBER(SEARCH(Ангилал!$C$5:$C$22,$G91&amp;" "&amp;$E91))+IF(Ангилал!$D$5:$D$22="",0,ISNUMBER(SEARCH(Ангилал!$D$5:$D$22,$G91&amp;" "&amp;$E91)))+IF(Ангилал!$E$5:$E$22="",0,ISNUMBER(SEARCH(Ангилал!$E$5:$E$22,$G91&amp;" "&amp;$E91)))&gt;0,0),0)),"Бусад"))</f>
        <v>Бусад</v>
      </c>
      <c r="M91" s="2"/>
      <c r="N91" s="2" t="str">
        <f aca="false">IF($G91="","",IF($M91&lt;&gt;"",$M91,$L91))</f>
        <v>Бусад</v>
      </c>
      <c r="O91" s="2" t="str">
        <f aca="false" t="array" ref="O91:O91">IF($G91="","",IFERROR(INDEX(Ангилал!$G$5:$G$16,MATCH(TRUE(),INDEX(ISNUMBER(SEARCH(Ангилал!$H$5:$H$16,$G91&amp;" "&amp;$E91))+ISNUMBER(SEARCH(Ангилал!$I$5:$I$16,$G91&amp;" "&amp;$E91))+ISNUMBER(SEARCH(Ангилал!$J$5:$J$16,$G91&amp;" "&amp;$E91))+ISNUMBER(SEARCH(Ангилал!$K$5:$K$16,$G91&amp;" "&amp;$E91))&gt;0,0),0)),"Ерөнхий нийт"))</f>
        <v>Ерөнхий нийт</v>
      </c>
      <c r="P91" s="2"/>
      <c r="Q91" s="2" t="str">
        <f aca="false">IF($G91="","",IF($P91&lt;&gt;"",$P91,$O91))</f>
        <v>Ерөнхий нийт</v>
      </c>
    </row>
    <row r="92" customFormat="false" ht="72" hidden="false" customHeight="true" outlineLevel="0" collapsed="false">
      <c r="A92" s="9" t="n">
        <v>77</v>
      </c>
      <c r="B92" s="10" t="s">
        <v>1414</v>
      </c>
      <c r="C92" s="10" t="s">
        <v>1414</v>
      </c>
      <c r="D92" s="10" t="s">
        <v>1439</v>
      </c>
      <c r="E92" s="10" t="s">
        <v>1440</v>
      </c>
      <c r="F92" s="10" t="s">
        <v>1441</v>
      </c>
      <c r="G92" s="10" t="s">
        <v>1442</v>
      </c>
      <c r="H92" s="10" t="s">
        <v>1443</v>
      </c>
      <c r="I92" s="10" t="s">
        <v>1444</v>
      </c>
      <c r="J92" s="12" t="s">
        <v>1445</v>
      </c>
      <c r="K92" s="2"/>
      <c r="L92" s="2" t="str">
        <f aca="false" t="array" ref="L92:L92">IF($G92="","",IFERROR(INDEX(Ангилал!$A$5:$A$22,MATCH(TRUE(),INDEX(ISNUMBER(SEARCH(Ангилал!$B$5:$B$22,$G92&amp;" "&amp;$E92))+ISNUMBER(SEARCH(Ангилал!$C$5:$C$22,$G92&amp;" "&amp;$E92))+IF(Ангилал!$D$5:$D$22="",0,ISNUMBER(SEARCH(Ангилал!$D$5:$D$22,$G92&amp;" "&amp;$E92)))+IF(Ангилал!$E$5:$E$22="",0,ISNUMBER(SEARCH(Ангилал!$E$5:$E$22,$G92&amp;" "&amp;$E92)))&gt;0,0),0)),"Бусад"))</f>
        <v>Хүүхдийн эрх</v>
      </c>
      <c r="M92" s="2"/>
      <c r="N92" s="2" t="str">
        <f aca="false">IF($G92="","",IF($M92&lt;&gt;"",$M92,$L92))</f>
        <v>Хүүхдийн эрх</v>
      </c>
      <c r="O92" s="2" t="str">
        <f aca="false" t="array" ref="O92:O92">IF($G92="","",IFERROR(INDEX(Ангилал!$G$5:$G$16,MATCH(TRUE(),INDEX(ISNUMBER(SEARCH(Ангилал!$H$5:$H$16,$G92&amp;" "&amp;$E92))+ISNUMBER(SEARCH(Ангилал!$I$5:$I$16,$G92&amp;" "&amp;$E92))+ISNUMBER(SEARCH(Ангилал!$J$5:$J$16,$G92&amp;" "&amp;$E92))+ISNUMBER(SEARCH(Ангилал!$K$5:$K$16,$G92&amp;" "&amp;$E92))&gt;0,0),0)),"Ерөнхий нийт"))</f>
        <v>Хүүхэд</v>
      </c>
      <c r="P92" s="2"/>
      <c r="Q92" s="2" t="str">
        <f aca="false">IF($G92="","",IF($P92&lt;&gt;"",$P92,$O92))</f>
        <v>Хүүхэд</v>
      </c>
    </row>
    <row r="93" customFormat="false" ht="129.75" hidden="false" customHeight="true" outlineLevel="0" collapsed="false">
      <c r="A93" s="9" t="n">
        <v>78</v>
      </c>
      <c r="B93" s="10" t="s">
        <v>1414</v>
      </c>
      <c r="C93" s="10" t="s">
        <v>1414</v>
      </c>
      <c r="D93" s="10" t="s">
        <v>1446</v>
      </c>
      <c r="E93" s="10" t="s">
        <v>1447</v>
      </c>
      <c r="F93" s="10" t="s">
        <v>337</v>
      </c>
      <c r="G93" s="10" t="s">
        <v>1186</v>
      </c>
      <c r="H93" s="10" t="s">
        <v>337</v>
      </c>
      <c r="I93" s="10" t="s">
        <v>1361</v>
      </c>
      <c r="J93" s="12" t="s">
        <v>1448</v>
      </c>
      <c r="K93" s="2"/>
      <c r="L93" s="2" t="str">
        <f aca="false" t="array" ref="L93:L93">IF($G93="","",IFERROR(INDEX(Ангилал!$A$5:$A$22,MATCH(TRUE(),INDEX(ISNUMBER(SEARCH(Ангилал!$B$5:$B$22,$G93&amp;" "&amp;$E93))+ISNUMBER(SEARCH(Ангилал!$C$5:$C$22,$G93&amp;" "&amp;$E93))+IF(Ангилал!$D$5:$D$22="",0,ISNUMBER(SEARCH(Ангилал!$D$5:$D$22,$G93&amp;" "&amp;$E93)))+IF(Ангилал!$E$5:$E$22="",0,ISNUMBER(SEARCH(Ангилал!$E$5:$E$22,$G93&amp;" "&amp;$E93)))&gt;0,0),0)),"Бусад"))</f>
        <v>Амьд явах, халдашгүй байх эрх</v>
      </c>
      <c r="M93" s="2"/>
      <c r="N93" s="2" t="str">
        <f aca="false">IF($G93="","",IF($M93&lt;&gt;"",$M93,$L93))</f>
        <v>Амьд явах, халдашгүй байх эрх</v>
      </c>
      <c r="O93" s="2" t="str">
        <f aca="false" t="array" ref="O93:O93">IF($G93="","",IFERROR(INDEX(Ангилал!$G$5:$G$16,MATCH(TRUE(),INDEX(ISNUMBER(SEARCH(Ангилал!$H$5:$H$16,$G93&amp;" "&amp;$E93))+ISNUMBER(SEARCH(Ангилал!$I$5:$I$16,$G93&amp;" "&amp;$E93))+ISNUMBER(SEARCH(Ангилал!$J$5:$J$16,$G93&amp;" "&amp;$E93))+ISNUMBER(SEARCH(Ангилал!$K$5:$K$16,$G93&amp;" "&amp;$E93))&gt;0,0),0)),"Ерөнхий нийт"))</f>
        <v>Ерөнхий нийт</v>
      </c>
      <c r="P93" s="2"/>
      <c r="Q93" s="2" t="str">
        <f aca="false">IF($G93="","",IF($P93&lt;&gt;"",$P93,$O93))</f>
        <v>Ерөнхий нийт</v>
      </c>
    </row>
    <row r="94" customFormat="false" ht="57.75" hidden="false" customHeight="true" outlineLevel="0" collapsed="false">
      <c r="A94" s="9" t="n">
        <v>79</v>
      </c>
      <c r="B94" s="10" t="s">
        <v>423</v>
      </c>
      <c r="C94" s="10" t="s">
        <v>1449</v>
      </c>
      <c r="D94" s="10" t="s">
        <v>1450</v>
      </c>
      <c r="E94" s="10" t="s">
        <v>1451</v>
      </c>
      <c r="F94" s="10" t="s">
        <v>337</v>
      </c>
      <c r="G94" s="10" t="s">
        <v>1452</v>
      </c>
      <c r="H94" s="10" t="s">
        <v>337</v>
      </c>
      <c r="I94" s="10" t="s">
        <v>1292</v>
      </c>
      <c r="J94" s="12" t="s">
        <v>1453</v>
      </c>
      <c r="K94" s="2"/>
      <c r="L94" s="2" t="str">
        <f aca="false" t="array" ref="L94:L94">IF($G94="","",IFERROR(INDEX(Ангилал!$A$5:$A$22,MATCH(TRUE(),INDEX(ISNUMBER(SEARCH(Ангилал!$B$5:$B$22,$G94&amp;" "&amp;$E94))+ISNUMBER(SEARCH(Ангилал!$C$5:$C$22,$G94&amp;" "&amp;$E94))+IF(Ангилал!$D$5:$D$22="",0,ISNUMBER(SEARCH(Ангилал!$D$5:$D$22,$G94&amp;" "&amp;$E94)))+IF(Ангилал!$E$5:$E$22="",0,ISNUMBER(SEARCH(Ангилал!$E$5:$E$22,$G94&amp;" "&amp;$E94)))&gt;0,0),0)),"Бусад"))</f>
        <v>Бусад</v>
      </c>
      <c r="M94" s="2"/>
      <c r="N94" s="2" t="str">
        <f aca="false">IF($G94="","",IF($M94&lt;&gt;"",$M94,$L94))</f>
        <v>Бусад</v>
      </c>
      <c r="O94" s="2" t="str">
        <f aca="false" t="array" ref="O94:O94">IF($G94="","",IFERROR(INDEX(Ангилал!$G$5:$G$16,MATCH(TRUE(),INDEX(ISNUMBER(SEARCH(Ангилал!$H$5:$H$16,$G94&amp;" "&amp;$E94))+ISNUMBER(SEARCH(Ангилал!$I$5:$I$16,$G94&amp;" "&amp;$E94))+ISNUMBER(SEARCH(Ангилал!$J$5:$J$16,$G94&amp;" "&amp;$E94))+ISNUMBER(SEARCH(Ангилал!$K$5:$K$16,$G94&amp;" "&amp;$E94))&gt;0,0),0)),"Ерөнхий нийт"))</f>
        <v>Ерөнхий нийт</v>
      </c>
      <c r="P94" s="2"/>
      <c r="Q94" s="2" t="str">
        <f aca="false">IF($G94="","",IF($P94&lt;&gt;"",$P94,$O94))</f>
        <v>Ерөнхий нийт</v>
      </c>
    </row>
    <row r="95" customFormat="false" ht="72" hidden="false" customHeight="true" outlineLevel="0" collapsed="false">
      <c r="A95" s="9" t="n">
        <v>80</v>
      </c>
      <c r="B95" s="10" t="s">
        <v>422</v>
      </c>
      <c r="C95" s="10" t="s">
        <v>423</v>
      </c>
      <c r="D95" s="10" t="s">
        <v>1454</v>
      </c>
      <c r="E95" s="10" t="s">
        <v>1455</v>
      </c>
      <c r="F95" s="10" t="s">
        <v>1456</v>
      </c>
      <c r="G95" s="10" t="s">
        <v>1334</v>
      </c>
      <c r="H95" s="10" t="s">
        <v>337</v>
      </c>
      <c r="I95" s="10" t="s">
        <v>1088</v>
      </c>
      <c r="J95" s="12" t="s">
        <v>1457</v>
      </c>
      <c r="K95" s="2"/>
      <c r="L95" s="2" t="str">
        <f aca="false" t="array" ref="L95:L95">IF($G95="","",IFERROR(INDEX(Ангилал!$A$5:$A$22,MATCH(TRUE(),INDEX(ISNUMBER(SEARCH(Ангилал!$B$5:$B$22,$G95&amp;" "&amp;$E95))+ISNUMBER(SEARCH(Ангилал!$C$5:$C$22,$G95&amp;" "&amp;$E95))+IF(Ангилал!$D$5:$D$22="",0,ISNUMBER(SEARCH(Ангилал!$D$5:$D$22,$G95&amp;" "&amp;$E95)))+IF(Ангилал!$E$5:$E$22="",0,ISNUMBER(SEARCH(Ангилал!$E$5:$E$22,$G95&amp;" "&amp;$E95)))&gt;0,0),0)),"Бусад"))</f>
        <v>Эрүүл мэндийн эрх</v>
      </c>
      <c r="M95" s="2"/>
      <c r="N95" s="2" t="str">
        <f aca="false">IF($G95="","",IF($M95&lt;&gt;"",$M95,$L95))</f>
        <v>Эрүүл мэндийн эрх</v>
      </c>
      <c r="O95" s="2" t="str">
        <f aca="false" t="array" ref="O95:O95">IF($G95="","",IFERROR(INDEX(Ангилал!$G$5:$G$16,MATCH(TRUE(),INDEX(ISNUMBER(SEARCH(Ангилал!$H$5:$H$16,$G95&amp;" "&amp;$E95))+ISNUMBER(SEARCH(Ангилал!$I$5:$I$16,$G95&amp;" "&amp;$E95))+ISNUMBER(SEARCH(Ангилал!$J$5:$J$16,$G95&amp;" "&amp;$E95))+ISNUMBER(SEARCH(Ангилал!$K$5:$K$16,$G95&amp;" "&amp;$E95))&gt;0,0),0)),"Ерөнхий нийт"))</f>
        <v>Ерөнхий нийт</v>
      </c>
      <c r="P95" s="2"/>
      <c r="Q95" s="2" t="str">
        <f aca="false">IF($G95="","",IF($P95&lt;&gt;"",$P95,$O95))</f>
        <v>Ерөнхий нийт</v>
      </c>
    </row>
    <row r="96" customFormat="false" ht="86.25" hidden="false" customHeight="true" outlineLevel="0" collapsed="false">
      <c r="A96" s="9" t="n">
        <v>81</v>
      </c>
      <c r="B96" s="10" t="s">
        <v>422</v>
      </c>
      <c r="C96" s="10" t="s">
        <v>422</v>
      </c>
      <c r="D96" s="10" t="s">
        <v>1458</v>
      </c>
      <c r="E96" s="10" t="s">
        <v>1459</v>
      </c>
      <c r="F96" s="10" t="s">
        <v>1460</v>
      </c>
      <c r="G96" s="10" t="s">
        <v>1461</v>
      </c>
      <c r="H96" s="10" t="s">
        <v>337</v>
      </c>
      <c r="I96" s="10" t="s">
        <v>1462</v>
      </c>
      <c r="J96" s="12" t="s">
        <v>1463</v>
      </c>
      <c r="K96" s="2"/>
      <c r="L96" s="2" t="str">
        <f aca="false" t="array" ref="L96:L96">IF($G96="","",IFERROR(INDEX(Ангилал!$A$5:$A$22,MATCH(TRUE(),INDEX(ISNUMBER(SEARCH(Ангилал!$B$5:$B$22,$G96&amp;" "&amp;$E96))+ISNUMBER(SEARCH(Ангилал!$C$5:$C$22,$G96&amp;" "&amp;$E96))+IF(Ангилал!$D$5:$D$22="",0,ISNUMBER(SEARCH(Ангилал!$D$5:$D$22,$G96&amp;" "&amp;$E96)))+IF(Ангилал!$E$5:$E$22="",0,ISNUMBER(SEARCH(Ангилал!$E$5:$E$22,$G96&amp;" "&amp;$E96)))&gt;0,0),0)),"Бусад"))</f>
        <v>Амьд явах, халдашгүй байх эрх</v>
      </c>
      <c r="M96" s="2"/>
      <c r="N96" s="2" t="str">
        <f aca="false">IF($G96="","",IF($M96&lt;&gt;"",$M96,$L96))</f>
        <v>Амьд явах, халдашгүй байх эрх</v>
      </c>
      <c r="O96" s="2" t="str">
        <f aca="false" t="array" ref="O96:O96">IF($G96="","",IFERROR(INDEX(Ангилал!$G$5:$G$16,MATCH(TRUE(),INDEX(ISNUMBER(SEARCH(Ангилал!$H$5:$H$16,$G96&amp;" "&amp;$E96))+ISNUMBER(SEARCH(Ангилал!$I$5:$I$16,$G96&amp;" "&amp;$E96))+ISNUMBER(SEARCH(Ангилал!$J$5:$J$16,$G96&amp;" "&amp;$E96))+ISNUMBER(SEARCH(Ангилал!$K$5:$K$16,$G96&amp;" "&amp;$E96))&gt;0,0),0)),"Ерөнхий нийт"))</f>
        <v>Ерөнхий нийт</v>
      </c>
      <c r="P96" s="2"/>
      <c r="Q96" s="2" t="str">
        <f aca="false">IF($G96="","",IF($P96&lt;&gt;"",$P96,$O96))</f>
        <v>Ерөнхий нийт</v>
      </c>
    </row>
    <row r="97" customFormat="false" ht="129.75" hidden="false" customHeight="true" outlineLevel="0" collapsed="false">
      <c r="A97" s="9" t="n">
        <v>82</v>
      </c>
      <c r="B97" s="10" t="s">
        <v>413</v>
      </c>
      <c r="C97" s="10" t="s">
        <v>413</v>
      </c>
      <c r="D97" s="10" t="s">
        <v>1464</v>
      </c>
      <c r="E97" s="10" t="s">
        <v>1465</v>
      </c>
      <c r="F97" s="10" t="s">
        <v>1466</v>
      </c>
      <c r="G97" s="10" t="s">
        <v>1442</v>
      </c>
      <c r="H97" s="10" t="s">
        <v>1467</v>
      </c>
      <c r="I97" s="10" t="s">
        <v>1088</v>
      </c>
      <c r="J97" s="12" t="s">
        <v>1468</v>
      </c>
      <c r="K97" s="2"/>
      <c r="L97" s="2" t="str">
        <f aca="false" t="array" ref="L97:L97">IF($G97="","",IFERROR(INDEX(Ангилал!$A$5:$A$22,MATCH(TRUE(),INDEX(ISNUMBER(SEARCH(Ангилал!$B$5:$B$22,$G97&amp;" "&amp;$E97))+ISNUMBER(SEARCH(Ангилал!$C$5:$C$22,$G97&amp;" "&amp;$E97))+IF(Ангилал!$D$5:$D$22="",0,ISNUMBER(SEARCH(Ангилал!$D$5:$D$22,$G97&amp;" "&amp;$E97)))+IF(Ангилал!$E$5:$E$22="",0,ISNUMBER(SEARCH(Ангилал!$E$5:$E$22,$G97&amp;" "&amp;$E97)))&gt;0,0),0)),"Бусад"))</f>
        <v>Хүүхдийн эрх</v>
      </c>
      <c r="M97" s="2"/>
      <c r="N97" s="2" t="str">
        <f aca="false">IF($G97="","",IF($M97&lt;&gt;"",$M97,$L97))</f>
        <v>Хүүхдийн эрх</v>
      </c>
      <c r="O97" s="2" t="str">
        <f aca="false" t="array" ref="O97:O97">IF($G97="","",IFERROR(INDEX(Ангилал!$G$5:$G$16,MATCH(TRUE(),INDEX(ISNUMBER(SEARCH(Ангилал!$H$5:$H$16,$G97&amp;" "&amp;$E97))+ISNUMBER(SEARCH(Ангилал!$I$5:$I$16,$G97&amp;" "&amp;$E97))+ISNUMBER(SEARCH(Ангилал!$J$5:$J$16,$G97&amp;" "&amp;$E97))+ISNUMBER(SEARCH(Ангилал!$K$5:$K$16,$G97&amp;" "&amp;$E97))&gt;0,0),0)),"Ерөнхий нийт"))</f>
        <v>Хүүхэд</v>
      </c>
      <c r="P97" s="2"/>
      <c r="Q97" s="2" t="str">
        <f aca="false">IF($G97="","",IF($P97&lt;&gt;"",$P97,$O97))</f>
        <v>Хүүхэд</v>
      </c>
    </row>
    <row r="98" customFormat="false" ht="101.25" hidden="false" customHeight="true" outlineLevel="0" collapsed="false">
      <c r="A98" s="9" t="n">
        <v>83</v>
      </c>
      <c r="B98" s="10" t="s">
        <v>455</v>
      </c>
      <c r="C98" s="10" t="s">
        <v>455</v>
      </c>
      <c r="D98" s="10" t="s">
        <v>1469</v>
      </c>
      <c r="E98" s="10" t="s">
        <v>1470</v>
      </c>
      <c r="F98" s="10" t="s">
        <v>1471</v>
      </c>
      <c r="G98" s="10" t="s">
        <v>1472</v>
      </c>
      <c r="H98" s="10" t="s">
        <v>337</v>
      </c>
      <c r="I98" s="10" t="s">
        <v>1292</v>
      </c>
      <c r="J98" s="12" t="s">
        <v>1473</v>
      </c>
      <c r="K98" s="2"/>
      <c r="L98" s="2" t="str">
        <f aca="false" t="array" ref="L98:L98">IF($G98="","",IFERROR(INDEX(Ангилал!$A$5:$A$22,MATCH(TRUE(),INDEX(ISNUMBER(SEARCH(Ангилал!$B$5:$B$22,$G98&amp;" "&amp;$E98))+ISNUMBER(SEARCH(Ангилал!$C$5:$C$22,$G98&amp;" "&amp;$E98))+IF(Ангилал!$D$5:$D$22="",0,ISNUMBER(SEARCH(Ангилал!$D$5:$D$22,$G98&amp;" "&amp;$E98)))+IF(Ангилал!$E$5:$E$22="",0,ISNUMBER(SEARCH(Ангилал!$E$5:$E$22,$G98&amp;" "&amp;$E98)))&gt;0,0),0)),"Бусад"))</f>
        <v>Бусад</v>
      </c>
      <c r="M98" s="2"/>
      <c r="N98" s="2" t="str">
        <f aca="false">IF($G98="","",IF($M98&lt;&gt;"",$M98,$L98))</f>
        <v>Бусад</v>
      </c>
      <c r="O98" s="2" t="str">
        <f aca="false" t="array" ref="O98:O98">IF($G98="","",IFERROR(INDEX(Ангилал!$G$5:$G$16,MATCH(TRUE(),INDEX(ISNUMBER(SEARCH(Ангилал!$H$5:$H$16,$G98&amp;" "&amp;$E98))+ISNUMBER(SEARCH(Ангилал!$I$5:$I$16,$G98&amp;" "&amp;$E98))+ISNUMBER(SEARCH(Ангилал!$J$5:$J$16,$G98&amp;" "&amp;$E98))+ISNUMBER(SEARCH(Ангилал!$K$5:$K$16,$G98&amp;" "&amp;$E98))&gt;0,0),0)),"Ерөнхий нийт"))</f>
        <v>Ерөнхий нийт</v>
      </c>
      <c r="P98" s="2"/>
      <c r="Q98" s="2" t="str">
        <f aca="false">IF($G98="","",IF($P98&lt;&gt;"",$P98,$O98))</f>
        <v>Ерөнхий нийт</v>
      </c>
    </row>
    <row r="99" customFormat="false" ht="72" hidden="false" customHeight="true" outlineLevel="0" collapsed="false">
      <c r="A99" s="9" t="n">
        <v>84</v>
      </c>
      <c r="B99" s="10" t="s">
        <v>1474</v>
      </c>
      <c r="C99" s="10" t="s">
        <v>1475</v>
      </c>
      <c r="D99" s="10" t="s">
        <v>1476</v>
      </c>
      <c r="E99" s="10" t="s">
        <v>1477</v>
      </c>
      <c r="F99" s="10" t="s">
        <v>1478</v>
      </c>
      <c r="G99" s="10" t="s">
        <v>1479</v>
      </c>
      <c r="H99" s="10" t="s">
        <v>1480</v>
      </c>
      <c r="I99" s="10" t="s">
        <v>1088</v>
      </c>
      <c r="J99" s="12" t="s">
        <v>1481</v>
      </c>
      <c r="K99" s="2"/>
      <c r="L99" s="2" t="str">
        <f aca="false" t="array" ref="L99:L99">IF($G99="","",IFERROR(INDEX(Ангилал!$A$5:$A$22,MATCH(TRUE(),INDEX(ISNUMBER(SEARCH(Ангилал!$B$5:$B$22,$G99&amp;" "&amp;$E99))+ISNUMBER(SEARCH(Ангилал!$C$5:$C$22,$G99&amp;" "&amp;$E99))+IF(Ангилал!$D$5:$D$22="",0,ISNUMBER(SEARCH(Ангилал!$D$5:$D$22,$G99&amp;" "&amp;$E99)))+IF(Ангилал!$E$5:$E$22="",0,ISNUMBER(SEARCH(Ангилал!$E$5:$E$22,$G99&amp;" "&amp;$E99)))&gt;0,0),0)),"Бусад"))</f>
        <v>Амьд явах, халдашгүй байх эрх</v>
      </c>
      <c r="M99" s="2"/>
      <c r="N99" s="2" t="str">
        <f aca="false">IF($G99="","",IF($M99&lt;&gt;"",$M99,$L99))</f>
        <v>Амьд явах, халдашгүй байх эрх</v>
      </c>
      <c r="O99" s="2" t="str">
        <f aca="false" t="array" ref="O99:O99">IF($G99="","",IFERROR(INDEX(Ангилал!$G$5:$G$16,MATCH(TRUE(),INDEX(ISNUMBER(SEARCH(Ангилал!$H$5:$H$16,$G99&amp;" "&amp;$E99))+ISNUMBER(SEARCH(Ангилал!$I$5:$I$16,$G99&amp;" "&amp;$E99))+ISNUMBER(SEARCH(Ангилал!$J$5:$J$16,$G99&amp;" "&amp;$E99))+ISNUMBER(SEARCH(Ангилал!$K$5:$K$16,$G99&amp;" "&amp;$E99))&gt;0,0),0)),"Ерөнхий нийт"))</f>
        <v>Ерөнхий нийт</v>
      </c>
      <c r="P99" s="2"/>
      <c r="Q99" s="2" t="str">
        <f aca="false">IF($G99="","",IF($P99&lt;&gt;"",$P99,$O99))</f>
        <v>Ерөнхий нийт</v>
      </c>
    </row>
    <row r="100" customFormat="false" ht="24" hidden="false" customHeight="true" outlineLevel="0" collapsed="false">
      <c r="A100" s="13" t="s">
        <v>1482</v>
      </c>
      <c r="B100" s="13"/>
      <c r="C100" s="13"/>
      <c r="D100" s="13"/>
      <c r="E100" s="13"/>
      <c r="F100" s="13"/>
      <c r="G100" s="13"/>
      <c r="H100" s="13"/>
      <c r="I100" s="13"/>
      <c r="J100" s="13"/>
      <c r="K100" s="2"/>
      <c r="L100" s="2" t="str">
        <f aca="false" t="array" ref="L100:L100">IF($G100="","",IFERROR(INDEX(Ангилал!$A$5:$A$22,MATCH(TRUE(),INDEX(ISNUMBER(SEARCH(Ангилал!$B$5:$B$22,$G100&amp;" "&amp;$E100))+ISNUMBER(SEARCH(Ангилал!$C$5:$C$22,$G100&amp;" "&amp;$E100))+IF(Ангилал!$D$5:$D$22="",0,ISNUMBER(SEARCH(Ангилал!$D$5:$D$22,$G100&amp;" "&amp;$E100)))+IF(Ангилал!$E$5:$E$22="",0,ISNUMBER(SEARCH(Ангилал!$E$5:$E$22,$G100&amp;" "&amp;$E100)))&gt;0,0),0)),"Бусад"))</f>
        <v/>
      </c>
      <c r="M100" s="2"/>
      <c r="N100" s="2" t="str">
        <f aca="false">IF($G100="","",IF($M100&lt;&gt;"",$M100,$L100))</f>
        <v/>
      </c>
      <c r="O100" s="2" t="str">
        <f aca="false" t="array" ref="O100:O100">IF($G100="","",IFERROR(INDEX(Ангилал!$G$5:$G$16,MATCH(TRUE(),INDEX(ISNUMBER(SEARCH(Ангилал!$H$5:$H$16,$G100&amp;" "&amp;$E100))+ISNUMBER(SEARCH(Ангилал!$I$5:$I$16,$G100&amp;" "&amp;$E100))+ISNUMBER(SEARCH(Ангилал!$J$5:$J$16,$G100&amp;" "&amp;$E100))+ISNUMBER(SEARCH(Ангилал!$K$5:$K$16,$G100&amp;" "&amp;$E100))&gt;0,0),0)),"Ерөнхий нийт"))</f>
        <v/>
      </c>
      <c r="P100" s="2"/>
      <c r="Q100" s="2" t="str">
        <f aca="false">IF($G100="","",IF($P100&lt;&gt;"",$P100,$O100))</f>
        <v/>
      </c>
    </row>
    <row r="101" customFormat="false" ht="201.75" hidden="false" customHeight="true" outlineLevel="0" collapsed="false">
      <c r="A101" s="9" t="n">
        <v>85</v>
      </c>
      <c r="B101" s="10" t="s">
        <v>535</v>
      </c>
      <c r="C101" s="10" t="s">
        <v>1483</v>
      </c>
      <c r="D101" s="10" t="s">
        <v>1484</v>
      </c>
      <c r="E101" s="10" t="s">
        <v>1485</v>
      </c>
      <c r="F101" s="10" t="s">
        <v>1486</v>
      </c>
      <c r="G101" s="10" t="s">
        <v>1487</v>
      </c>
      <c r="H101" s="10" t="s">
        <v>1488</v>
      </c>
      <c r="I101" s="10" t="s">
        <v>1489</v>
      </c>
      <c r="J101" s="12" t="s">
        <v>1490</v>
      </c>
      <c r="K101" s="2"/>
      <c r="L101" s="2" t="str">
        <f aca="false" t="array" ref="L101:L101">IF($G101="","",IFERROR(INDEX(Ангилал!$A$5:$A$22,MATCH(TRUE(),INDEX(ISNUMBER(SEARCH(Ангилал!$B$5:$B$22,$G101&amp;" "&amp;$E101))+ISNUMBER(SEARCH(Ангилал!$C$5:$C$22,$G101&amp;" "&amp;$E101))+IF(Ангилал!$D$5:$D$22="",0,ISNUMBER(SEARCH(Ангилал!$D$5:$D$22,$G101&amp;" "&amp;$E101)))+IF(Ангилал!$E$5:$E$22="",0,ISNUMBER(SEARCH(Ангилал!$E$5:$E$22,$G101&amp;" "&amp;$E101)))&gt;0,0),0)),"Бусад"))</f>
        <v>Хүүхдийн эрх</v>
      </c>
      <c r="M101" s="2"/>
      <c r="N101" s="2" t="str">
        <f aca="false">IF($G101="","",IF($M101&lt;&gt;"",$M101,$L101))</f>
        <v>Хүүхдийн эрх</v>
      </c>
      <c r="O101" s="2" t="str">
        <f aca="false" t="array" ref="O101:O101">IF($G101="","",IFERROR(INDEX(Ангилал!$G$5:$G$16,MATCH(TRUE(),INDEX(ISNUMBER(SEARCH(Ангилал!$H$5:$H$16,$G101&amp;" "&amp;$E101))+ISNUMBER(SEARCH(Ангилал!$I$5:$I$16,$G101&amp;" "&amp;$E101))+ISNUMBER(SEARCH(Ангилал!$J$5:$J$16,$G101&amp;" "&amp;$E101))+ISNUMBER(SEARCH(Ангилал!$K$5:$K$16,$G101&amp;" "&amp;$E101))&gt;0,0),0)),"Ерөнхий нийт"))</f>
        <v>Хүүхэд</v>
      </c>
      <c r="P101" s="2"/>
      <c r="Q101" s="2" t="str">
        <f aca="false">IF($G101="","",IF($P101&lt;&gt;"",$P101,$O101))</f>
        <v>Хүүхэд</v>
      </c>
    </row>
    <row r="102" customFormat="false" ht="115.5" hidden="false" customHeight="true" outlineLevel="0" collapsed="false">
      <c r="A102" s="9" t="n">
        <v>86</v>
      </c>
      <c r="B102" s="10" t="s">
        <v>545</v>
      </c>
      <c r="C102" s="10" t="s">
        <v>1491</v>
      </c>
      <c r="D102" s="10" t="s">
        <v>1492</v>
      </c>
      <c r="E102" s="10" t="s">
        <v>1493</v>
      </c>
      <c r="F102" s="10" t="s">
        <v>1494</v>
      </c>
      <c r="G102" s="10" t="s">
        <v>1495</v>
      </c>
      <c r="H102" s="10" t="s">
        <v>1496</v>
      </c>
      <c r="I102" s="10" t="s">
        <v>1497</v>
      </c>
      <c r="J102" s="12" t="s">
        <v>1498</v>
      </c>
      <c r="K102" s="2"/>
      <c r="L102" s="2" t="str">
        <f aca="false" t="array" ref="L102:L102">IF($G102="","",IFERROR(INDEX(Ангилал!$A$5:$A$22,MATCH(TRUE(),INDEX(ISNUMBER(SEARCH(Ангилал!$B$5:$B$22,$G102&amp;" "&amp;$E102))+ISNUMBER(SEARCH(Ангилал!$C$5:$C$22,$G102&amp;" "&amp;$E102))+IF(Ангилал!$D$5:$D$22="",0,ISNUMBER(SEARCH(Ангилал!$D$5:$D$22,$G102&amp;" "&amp;$E102)))+IF(Ангилал!$E$5:$E$22="",0,ISNUMBER(SEARCH(Ангилал!$E$5:$E$22,$G102&amp;" "&amp;$E102)))&gt;0,0),0)),"Бусад"))</f>
        <v>Эрүүдэн шүүлт, хүнлэг бус харьцаа</v>
      </c>
      <c r="M102" s="2"/>
      <c r="N102" s="2" t="str">
        <f aca="false">IF($G102="","",IF($M102&lt;&gt;"",$M102,$L102))</f>
        <v>Эрүүдэн шүүлт, хүнлэг бус харьцаа</v>
      </c>
      <c r="O102" s="2" t="str">
        <f aca="false" t="array" ref="O102:O102">IF($G102="","",IFERROR(INDEX(Ангилал!$G$5:$G$16,MATCH(TRUE(),INDEX(ISNUMBER(SEARCH(Ангилал!$H$5:$H$16,$G102&amp;" "&amp;$E102))+ISNUMBER(SEARCH(Ангилал!$I$5:$I$16,$G102&amp;" "&amp;$E102))+ISNUMBER(SEARCH(Ангилал!$J$5:$J$16,$G102&amp;" "&amp;$E102))+ISNUMBER(SEARCH(Ангилал!$K$5:$K$16,$G102&amp;" "&amp;$E102))&gt;0,0),0)),"Ерөнхий нийт"))</f>
        <v>Сэтгүүлч, хүний эрхийн хамгаалагч</v>
      </c>
      <c r="P102" s="2"/>
      <c r="Q102" s="2" t="str">
        <f aca="false">IF($G102="","",IF($P102&lt;&gt;"",$P102,$O102))</f>
        <v>Сэтгүүлч, хүний эрхийн хамгаалагч</v>
      </c>
    </row>
    <row r="103" customFormat="false" ht="173.25" hidden="false" customHeight="true" outlineLevel="0" collapsed="false">
      <c r="A103" s="9" t="n">
        <v>87</v>
      </c>
      <c r="B103" s="10" t="s">
        <v>545</v>
      </c>
      <c r="C103" s="10" t="s">
        <v>545</v>
      </c>
      <c r="D103" s="10" t="s">
        <v>1499</v>
      </c>
      <c r="E103" s="10" t="s">
        <v>1500</v>
      </c>
      <c r="F103" s="10" t="s">
        <v>1501</v>
      </c>
      <c r="G103" s="10" t="s">
        <v>1502</v>
      </c>
      <c r="H103" s="10" t="s">
        <v>1503</v>
      </c>
      <c r="I103" s="10" t="s">
        <v>1504</v>
      </c>
      <c r="J103" s="12" t="s">
        <v>1505</v>
      </c>
      <c r="K103" s="2"/>
      <c r="L103" s="2" t="str">
        <f aca="false" t="array" ref="L103:L103">IF($G103="","",IFERROR(INDEX(Ангилал!$A$5:$A$22,MATCH(TRUE(),INDEX(ISNUMBER(SEARCH(Ангилал!$B$5:$B$22,$G103&amp;" "&amp;$E103))+ISNUMBER(SEARCH(Ангилал!$C$5:$C$22,$G103&amp;" "&amp;$E103))+IF(Ангилал!$D$5:$D$22="",0,ISNUMBER(SEARCH(Ангилал!$D$5:$D$22,$G103&amp;" "&amp;$E103)))+IF(Ангилал!$E$5:$E$22="",0,ISNUMBER(SEARCH(Ангилал!$E$5:$E$22,$G103&amp;" "&amp;$E103)))&gt;0,0),0)),"Бусад"))</f>
        <v>Хүүхдийн эрх</v>
      </c>
      <c r="M103" s="2"/>
      <c r="N103" s="2" t="str">
        <f aca="false">IF($G103="","",IF($M103&lt;&gt;"",$M103,$L103))</f>
        <v>Хүүхдийн эрх</v>
      </c>
      <c r="O103" s="2" t="str">
        <f aca="false" t="array" ref="O103:O103">IF($G103="","",IFERROR(INDEX(Ангилал!$G$5:$G$16,MATCH(TRUE(),INDEX(ISNUMBER(SEARCH(Ангилал!$H$5:$H$16,$G103&amp;" "&amp;$E103))+ISNUMBER(SEARCH(Ангилал!$I$5:$I$16,$G103&amp;" "&amp;$E103))+ISNUMBER(SEARCH(Ангилал!$J$5:$J$16,$G103&amp;" "&amp;$E103))+ISNUMBER(SEARCH(Ангилал!$K$5:$K$16,$G103&amp;" "&amp;$E103))&gt;0,0),0)),"Ерөнхий нийт"))</f>
        <v>Хүүхэд</v>
      </c>
      <c r="P103" s="2"/>
      <c r="Q103" s="2" t="str">
        <f aca="false">IF($G103="","",IF($P103&lt;&gt;"",$P103,$O103))</f>
        <v>Хүүхэд</v>
      </c>
    </row>
    <row r="104" customFormat="false" ht="159" hidden="false" customHeight="true" outlineLevel="0" collapsed="false">
      <c r="A104" s="9" t="n">
        <v>88</v>
      </c>
      <c r="B104" s="10" t="s">
        <v>545</v>
      </c>
      <c r="C104" s="10" t="s">
        <v>1506</v>
      </c>
      <c r="D104" s="10" t="s">
        <v>1507</v>
      </c>
      <c r="E104" s="10" t="s">
        <v>1508</v>
      </c>
      <c r="F104" s="10" t="s">
        <v>1509</v>
      </c>
      <c r="G104" s="10" t="s">
        <v>1510</v>
      </c>
      <c r="H104" s="10" t="s">
        <v>1511</v>
      </c>
      <c r="I104" s="10" t="s">
        <v>1512</v>
      </c>
      <c r="J104" s="12" t="s">
        <v>1513</v>
      </c>
      <c r="K104" s="2"/>
      <c r="L104" s="2" t="str">
        <f aca="false" t="array" ref="L104:L104">IF($G104="","",IFERROR(INDEX(Ангилал!$A$5:$A$22,MATCH(TRUE(),INDEX(ISNUMBER(SEARCH(Ангилал!$B$5:$B$22,$G104&amp;" "&amp;$E104))+ISNUMBER(SEARCH(Ангилал!$C$5:$C$22,$G104&amp;" "&amp;$E104))+IF(Ангилал!$D$5:$D$22="",0,ISNUMBER(SEARCH(Ангилал!$D$5:$D$22,$G104&amp;" "&amp;$E104)))+IF(Ангилал!$E$5:$E$22="",0,ISNUMBER(SEARCH(Ангилал!$E$5:$E$22,$G104&amp;" "&amp;$E104)))&gt;0,0),0)),"Бусад"))</f>
        <v>Эрүүдэн шүүлт, хүнлэг бус харьцаа</v>
      </c>
      <c r="M104" s="2"/>
      <c r="N104" s="2" t="str">
        <f aca="false">IF($G104="","",IF($M104&lt;&gt;"",$M104,$L104))</f>
        <v>Эрүүдэн шүүлт, хүнлэг бус харьцаа</v>
      </c>
      <c r="O104" s="2" t="str">
        <f aca="false" t="array" ref="O104:O104">IF($G104="","",IFERROR(INDEX(Ангилал!$G$5:$G$16,MATCH(TRUE(),INDEX(ISNUMBER(SEARCH(Ангилал!$H$5:$H$16,$G104&amp;" "&amp;$E104))+ISNUMBER(SEARCH(Ангилал!$I$5:$I$16,$G104&amp;" "&amp;$E104))+ISNUMBER(SEARCH(Ангилал!$J$5:$J$16,$G104&amp;" "&amp;$E104))+ISNUMBER(SEARCH(Ангилал!$K$5:$K$16,$G104&amp;" "&amp;$E104))&gt;0,0),0)),"Ерөнхий нийт"))</f>
        <v>Дүрвэгсэд, цагаачид</v>
      </c>
      <c r="P104" s="2"/>
      <c r="Q104" s="2" t="str">
        <f aca="false">IF($G104="","",IF($P104&lt;&gt;"",$P104,$O104))</f>
        <v>Дүрвэгсэд, цагаачид</v>
      </c>
    </row>
    <row r="105" customFormat="false" ht="144" hidden="false" customHeight="true" outlineLevel="0" collapsed="false">
      <c r="A105" s="9" t="n">
        <v>89</v>
      </c>
      <c r="B105" s="10" t="s">
        <v>545</v>
      </c>
      <c r="C105" s="10" t="s">
        <v>1514</v>
      </c>
      <c r="D105" s="10" t="s">
        <v>1515</v>
      </c>
      <c r="E105" s="10" t="s">
        <v>1516</v>
      </c>
      <c r="F105" s="10" t="s">
        <v>1517</v>
      </c>
      <c r="G105" s="10" t="s">
        <v>1518</v>
      </c>
      <c r="H105" s="10" t="s">
        <v>1519</v>
      </c>
      <c r="I105" s="10" t="s">
        <v>1520</v>
      </c>
      <c r="J105" s="12" t="s">
        <v>1521</v>
      </c>
      <c r="K105" s="2"/>
      <c r="L105" s="2" t="str">
        <f aca="false" t="array" ref="L105:L105">IF($G105="","",IFERROR(INDEX(Ангилал!$A$5:$A$22,MATCH(TRUE(),INDEX(ISNUMBER(SEARCH(Ангилал!$B$5:$B$22,$G105&amp;" "&amp;$E105))+ISNUMBER(SEARCH(Ангилал!$C$5:$C$22,$G105&amp;" "&amp;$E105))+IF(Ангилал!$D$5:$D$22="",0,ISNUMBER(SEARCH(Ангилал!$D$5:$D$22,$G105&amp;" "&amp;$E105)))+IF(Ангилал!$E$5:$E$22="",0,ISNUMBER(SEARCH(Ангилал!$E$5:$E$22,$G105&amp;" "&amp;$E105)))&gt;0,0),0)),"Бусад"))</f>
        <v>Амьд явах, халдашгүй байх эрх</v>
      </c>
      <c r="M105" s="2"/>
      <c r="N105" s="2" t="str">
        <f aca="false">IF($G105="","",IF($M105&lt;&gt;"",$M105,$L105))</f>
        <v>Амьд явах, халдашгүй байх эрх</v>
      </c>
      <c r="O105" s="2" t="str">
        <f aca="false" t="array" ref="O105:O105">IF($G105="","",IFERROR(INDEX(Ангилал!$G$5:$G$16,MATCH(TRUE(),INDEX(ISNUMBER(SEARCH(Ангилал!$H$5:$H$16,$G105&amp;" "&amp;$E105))+ISNUMBER(SEARCH(Ангилал!$I$5:$I$16,$G105&amp;" "&amp;$E105))+ISNUMBER(SEARCH(Ангилал!$J$5:$J$16,$G105&amp;" "&amp;$E105))+ISNUMBER(SEARCH(Ангилал!$K$5:$K$16,$G105&amp;" "&amp;$E105))&gt;0,0),0)),"Ерөнхий нийт"))</f>
        <v>Ерөнхий нийт</v>
      </c>
      <c r="P105" s="2"/>
      <c r="Q105" s="2" t="str">
        <f aca="false">IF($G105="","",IF($P105&lt;&gt;"",$P105,$O105))</f>
        <v>Ерөнхий нийт</v>
      </c>
    </row>
    <row r="106" customFormat="false" ht="101.25" hidden="false" customHeight="true" outlineLevel="0" collapsed="false">
      <c r="A106" s="9" t="n">
        <v>90</v>
      </c>
      <c r="B106" s="10" t="s">
        <v>535</v>
      </c>
      <c r="C106" s="10" t="s">
        <v>1522</v>
      </c>
      <c r="D106" s="10" t="s">
        <v>1523</v>
      </c>
      <c r="E106" s="10" t="s">
        <v>1524</v>
      </c>
      <c r="F106" s="10" t="s">
        <v>1525</v>
      </c>
      <c r="G106" s="10" t="s">
        <v>1526</v>
      </c>
      <c r="H106" s="10" t="s">
        <v>1527</v>
      </c>
      <c r="I106" s="10" t="s">
        <v>1528</v>
      </c>
      <c r="J106" s="12" t="s">
        <v>1529</v>
      </c>
      <c r="K106" s="2"/>
      <c r="L106" s="2" t="str">
        <f aca="false" t="array" ref="L106:L106">IF($G106="","",IFERROR(INDEX(Ангилал!$A$5:$A$22,MATCH(TRUE(),INDEX(ISNUMBER(SEARCH(Ангилал!$B$5:$B$22,$G106&amp;" "&amp;$E106))+ISNUMBER(SEARCH(Ангилал!$C$5:$C$22,$G106&amp;" "&amp;$E106))+IF(Ангилал!$D$5:$D$22="",0,ISNUMBER(SEARCH(Ангилал!$D$5:$D$22,$G106&amp;" "&amp;$E106)))+IF(Ангилал!$E$5:$E$22="",0,ISNUMBER(SEARCH(Ангилал!$E$5:$E$22,$G106&amp;" "&amp;$E106)))&gt;0,0),0)),"Бусад"))</f>
        <v>Үзэл бодлоо илэрхийлэх, мэдээллийн эрх</v>
      </c>
      <c r="M106" s="2"/>
      <c r="N106" s="2" t="str">
        <f aca="false">IF($G106="","",IF($M106&lt;&gt;"",$M106,$L106))</f>
        <v>Үзэл бодлоо илэрхийлэх, мэдээллийн эрх</v>
      </c>
      <c r="O106" s="2" t="str">
        <f aca="false" t="array" ref="O106:O106">IF($G106="","",IFERROR(INDEX(Ангилал!$G$5:$G$16,MATCH(TRUE(),INDEX(ISNUMBER(SEARCH(Ангилал!$H$5:$H$16,$G106&amp;" "&amp;$E106))+ISNUMBER(SEARCH(Ангилал!$I$5:$I$16,$G106&amp;" "&amp;$E106))+ISNUMBER(SEARCH(Ангилал!$J$5:$J$16,$G106&amp;" "&amp;$E106))+ISNUMBER(SEARCH(Ангилал!$K$5:$K$16,$G106&amp;" "&amp;$E106))&gt;0,0),0)),"Ерөнхий нийт"))</f>
        <v>Эмэгтэйчүүд</v>
      </c>
      <c r="P106" s="2"/>
      <c r="Q106" s="2" t="str">
        <f aca="false">IF($G106="","",IF($P106&lt;&gt;"",$P106,$O106))</f>
        <v>Эмэгтэйчүүд</v>
      </c>
    </row>
    <row r="107" customFormat="false" ht="115.5" hidden="false" customHeight="true" outlineLevel="0" collapsed="false">
      <c r="A107" s="9" t="n">
        <v>91</v>
      </c>
      <c r="B107" s="10" t="s">
        <v>545</v>
      </c>
      <c r="C107" s="10" t="s">
        <v>1530</v>
      </c>
      <c r="D107" s="10" t="s">
        <v>1531</v>
      </c>
      <c r="E107" s="10" t="s">
        <v>1532</v>
      </c>
      <c r="F107" s="10" t="s">
        <v>1533</v>
      </c>
      <c r="G107" s="10" t="s">
        <v>1534</v>
      </c>
      <c r="H107" s="10" t="s">
        <v>1535</v>
      </c>
      <c r="I107" s="10" t="s">
        <v>1536</v>
      </c>
      <c r="J107" s="12" t="s">
        <v>1537</v>
      </c>
      <c r="K107" s="2"/>
      <c r="L107" s="2" t="str">
        <f aca="false" t="array" ref="L107:L107">IF($G107="","",IFERROR(INDEX(Ангилал!$A$5:$A$22,MATCH(TRUE(),INDEX(ISNUMBER(SEARCH(Ангилал!$B$5:$B$22,$G107&amp;" "&amp;$E107))+ISNUMBER(SEARCH(Ангилал!$C$5:$C$22,$G107&amp;" "&amp;$E107))+IF(Ангилал!$D$5:$D$22="",0,ISNUMBER(SEARCH(Ангилал!$D$5:$D$22,$G107&amp;" "&amp;$E107)))+IF(Ангилал!$E$5:$E$22="",0,ISNUMBER(SEARCH(Ангилал!$E$5:$E$22,$G107&amp;" "&amp;$E107)))&gt;0,0),0)),"Бусад"))</f>
        <v>Үзэл бодлоо илэрхийлэх, мэдээллийн эрх</v>
      </c>
      <c r="M107" s="2"/>
      <c r="N107" s="2" t="str">
        <f aca="false">IF($G107="","",IF($M107&lt;&gt;"",$M107,$L107))</f>
        <v>Үзэл бодлоо илэрхийлэх, мэдээллийн эрх</v>
      </c>
      <c r="O107" s="2" t="str">
        <f aca="false" t="array" ref="O107:O107">IF($G107="","",IFERROR(INDEX(Ангилал!$G$5:$G$16,MATCH(TRUE(),INDEX(ISNUMBER(SEARCH(Ангилал!$H$5:$H$16,$G107&amp;" "&amp;$E107))+ISNUMBER(SEARCH(Ангилал!$I$5:$I$16,$G107&amp;" "&amp;$E107))+ISNUMBER(SEARCH(Ангилал!$J$5:$J$16,$G107&amp;" "&amp;$E107))+ISNUMBER(SEARCH(Ангилал!$K$5:$K$16,$G107&amp;" "&amp;$E107))&gt;0,0),0)),"Ерөнхий нийт"))</f>
        <v>Хөгжлийн бэрхшээлтэй иргэд</v>
      </c>
      <c r="P107" s="2"/>
      <c r="Q107" s="2" t="str">
        <f aca="false">IF($G107="","",IF($P107&lt;&gt;"",$P107,$O107))</f>
        <v>Хөгжлийн бэрхшээлтэй иргэд</v>
      </c>
    </row>
    <row r="108" customFormat="false" ht="101.25" hidden="false" customHeight="true" outlineLevel="0" collapsed="false">
      <c r="A108" s="9" t="n">
        <v>92</v>
      </c>
      <c r="B108" s="10" t="s">
        <v>535</v>
      </c>
      <c r="C108" s="10" t="s">
        <v>535</v>
      </c>
      <c r="D108" s="10" t="s">
        <v>1538</v>
      </c>
      <c r="E108" s="10" t="s">
        <v>1539</v>
      </c>
      <c r="F108" s="10" t="s">
        <v>1540</v>
      </c>
      <c r="G108" s="10" t="s">
        <v>1541</v>
      </c>
      <c r="H108" s="10" t="s">
        <v>1542</v>
      </c>
      <c r="I108" s="10" t="s">
        <v>1543</v>
      </c>
      <c r="J108" s="12" t="s">
        <v>1544</v>
      </c>
      <c r="K108" s="2"/>
      <c r="L108" s="2" t="str">
        <f aca="false" t="array" ref="L108:L108">IF($G108="","",IFERROR(INDEX(Ангилал!$A$5:$A$22,MATCH(TRUE(),INDEX(ISNUMBER(SEARCH(Ангилал!$B$5:$B$22,$G108&amp;" "&amp;$E108))+ISNUMBER(SEARCH(Ангилал!$C$5:$C$22,$G108&amp;" "&amp;$E108))+IF(Ангилал!$D$5:$D$22="",0,ISNUMBER(SEARCH(Ангилал!$D$5:$D$22,$G108&amp;" "&amp;$E108)))+IF(Ангилал!$E$5:$E$22="",0,ISNUMBER(SEARCH(Ангилал!$E$5:$E$22,$G108&amp;" "&amp;$E108)))&gt;0,0),0)),"Бусад"))</f>
        <v>Амьд явах, халдашгүй байх эрх</v>
      </c>
      <c r="M108" s="2"/>
      <c r="N108" s="2" t="str">
        <f aca="false">IF($G108="","",IF($M108&lt;&gt;"",$M108,$L108))</f>
        <v>Амьд явах, халдашгүй байх эрх</v>
      </c>
      <c r="O108" s="2" t="str">
        <f aca="false" t="array" ref="O108:O108">IF($G108="","",IFERROR(INDEX(Ангилал!$G$5:$G$16,MATCH(TRUE(),INDEX(ISNUMBER(SEARCH(Ангилал!$H$5:$H$16,$G108&amp;" "&amp;$E108))+ISNUMBER(SEARCH(Ангилал!$I$5:$I$16,$G108&amp;" "&amp;$E108))+ISNUMBER(SEARCH(Ангилал!$J$5:$J$16,$G108&amp;" "&amp;$E108))+ISNUMBER(SEARCH(Ангилал!$K$5:$K$16,$G108&amp;" "&amp;$E108))&gt;0,0),0)),"Ерөнхий нийт"))</f>
        <v>Цөөнх, үндэстэн ястан</v>
      </c>
      <c r="P108" s="2"/>
      <c r="Q108" s="2" t="str">
        <f aca="false">IF($G108="","",IF($P108&lt;&gt;"",$P108,$O108))</f>
        <v>Цөөнх, үндэстэн ястан</v>
      </c>
    </row>
    <row r="109" customFormat="false" ht="24" hidden="false" customHeight="true" outlineLevel="0" collapsed="false">
      <c r="A109" s="13" t="s">
        <v>1545</v>
      </c>
      <c r="B109" s="13"/>
      <c r="C109" s="13"/>
      <c r="D109" s="13"/>
      <c r="E109" s="13"/>
      <c r="F109" s="13"/>
      <c r="G109" s="13"/>
      <c r="H109" s="13"/>
      <c r="I109" s="13"/>
      <c r="J109" s="13"/>
      <c r="K109" s="2"/>
      <c r="L109" s="2" t="str">
        <f aca="false" t="array" ref="L109:L109">IF($G109="","",IFERROR(INDEX(Ангилал!$A$5:$A$22,MATCH(TRUE(),INDEX(ISNUMBER(SEARCH(Ангилал!$B$5:$B$22,$G109&amp;" "&amp;$E109))+ISNUMBER(SEARCH(Ангилал!$C$5:$C$22,$G109&amp;" "&amp;$E109))+IF(Ангилал!$D$5:$D$22="",0,ISNUMBER(SEARCH(Ангилал!$D$5:$D$22,$G109&amp;" "&amp;$E109)))+IF(Ангилал!$E$5:$E$22="",0,ISNUMBER(SEARCH(Ангилал!$E$5:$E$22,$G109&amp;" "&amp;$E109)))&gt;0,0),0)),"Бусад"))</f>
        <v/>
      </c>
      <c r="M109" s="2"/>
      <c r="N109" s="2" t="str">
        <f aca="false">IF($G109="","",IF($M109&lt;&gt;"",$M109,$L109))</f>
        <v/>
      </c>
      <c r="O109" s="2" t="str">
        <f aca="false" t="array" ref="O109:O109">IF($G109="","",IFERROR(INDEX(Ангилал!$G$5:$G$16,MATCH(TRUE(),INDEX(ISNUMBER(SEARCH(Ангилал!$H$5:$H$16,$G109&amp;" "&amp;$E109))+ISNUMBER(SEARCH(Ангилал!$I$5:$I$16,$G109&amp;" "&amp;$E109))+ISNUMBER(SEARCH(Ангилал!$J$5:$J$16,$G109&amp;" "&amp;$E109))+ISNUMBER(SEARCH(Ангилал!$K$5:$K$16,$G109&amp;" "&amp;$E109))&gt;0,0),0)),"Ерөнхий нийт"))</f>
        <v/>
      </c>
      <c r="P109" s="2"/>
      <c r="Q109" s="2" t="str">
        <f aca="false">IF($G109="","",IF($P109&lt;&gt;"",$P109,$O109))</f>
        <v/>
      </c>
    </row>
    <row r="110" customFormat="false" ht="115.5" hidden="false" customHeight="true" outlineLevel="0" collapsed="false">
      <c r="A110" s="9" t="n">
        <v>93</v>
      </c>
      <c r="B110" s="10" t="s">
        <v>1546</v>
      </c>
      <c r="C110" s="10" t="s">
        <v>1546</v>
      </c>
      <c r="D110" s="10" t="s">
        <v>1547</v>
      </c>
      <c r="E110" s="10" t="s">
        <v>1548</v>
      </c>
      <c r="F110" s="10" t="s">
        <v>1549</v>
      </c>
      <c r="G110" s="10" t="s">
        <v>1550</v>
      </c>
      <c r="H110" s="10"/>
      <c r="I110" s="10" t="s">
        <v>1088</v>
      </c>
      <c r="J110" s="12" t="s">
        <v>1551</v>
      </c>
      <c r="K110" s="2"/>
      <c r="L110" s="2" t="str">
        <f aca="false" t="array" ref="L110:L110">IF($G110="","",IFERROR(INDEX(Ангилал!$A$5:$A$22,MATCH(TRUE(),INDEX(ISNUMBER(SEARCH(Ангилал!$B$5:$B$22,$G110&amp;" "&amp;$E110))+ISNUMBER(SEARCH(Ангилал!$C$5:$C$22,$G110&amp;" "&amp;$E110))+IF(Ангилал!$D$5:$D$22="",0,ISNUMBER(SEARCH(Ангилал!$D$5:$D$22,$G110&amp;" "&amp;$E110)))+IF(Ангилал!$E$5:$E$22="",0,ISNUMBER(SEARCH(Ангилал!$E$5:$E$22,$G110&amp;" "&amp;$E110)))&gt;0,0),0)),"Бусад"))</f>
        <v>Хүүхдийн эрх</v>
      </c>
      <c r="M110" s="2"/>
      <c r="N110" s="2" t="str">
        <f aca="false">IF($G110="","",IF($M110&lt;&gt;"",$M110,$L110))</f>
        <v>Хүүхдийн эрх</v>
      </c>
      <c r="O110" s="2" t="str">
        <f aca="false" t="array" ref="O110:O110">IF($G110="","",IFERROR(INDEX(Ангилал!$G$5:$G$16,MATCH(TRUE(),INDEX(ISNUMBER(SEARCH(Ангилал!$H$5:$H$16,$G110&amp;" "&amp;$E110))+ISNUMBER(SEARCH(Ангилал!$I$5:$I$16,$G110&amp;" "&amp;$E110))+ISNUMBER(SEARCH(Ангилал!$J$5:$J$16,$G110&amp;" "&amp;$E110))+ISNUMBER(SEARCH(Ангилал!$K$5:$K$16,$G110&amp;" "&amp;$E110))&gt;0,0),0)),"Ерөнхий нийт"))</f>
        <v>Хүүхэд</v>
      </c>
      <c r="P110" s="2"/>
      <c r="Q110" s="2" t="str">
        <f aca="false">IF($G110="","",IF($P110&lt;&gt;"",$P110,$O110))</f>
        <v>Хүүхэд</v>
      </c>
    </row>
    <row r="111" customFormat="false" ht="129.75" hidden="false" customHeight="true" outlineLevel="0" collapsed="false">
      <c r="A111" s="9" t="n">
        <v>94</v>
      </c>
      <c r="B111" s="10" t="s">
        <v>592</v>
      </c>
      <c r="C111" s="10" t="s">
        <v>592</v>
      </c>
      <c r="D111" s="10" t="s">
        <v>1552</v>
      </c>
      <c r="E111" s="10" t="s">
        <v>1553</v>
      </c>
      <c r="F111" s="10" t="s">
        <v>1554</v>
      </c>
      <c r="G111" s="10"/>
      <c r="H111" s="10"/>
      <c r="I111" s="10" t="s">
        <v>1555</v>
      </c>
      <c r="J111" s="12" t="s">
        <v>1556</v>
      </c>
      <c r="K111" s="2"/>
      <c r="L111" s="2" t="str">
        <f aca="false" t="array" ref="L111:L111">IF($G111="","",IFERROR(INDEX(Ангилал!$A$5:$A$22,MATCH(TRUE(),INDEX(ISNUMBER(SEARCH(Ангилал!$B$5:$B$22,$G111&amp;" "&amp;$E111))+ISNUMBER(SEARCH(Ангилал!$C$5:$C$22,$G111&amp;" "&amp;$E111))+IF(Ангилал!$D$5:$D$22="",0,ISNUMBER(SEARCH(Ангилал!$D$5:$D$22,$G111&amp;" "&amp;$E111)))+IF(Ангилал!$E$5:$E$22="",0,ISNUMBER(SEARCH(Ангилал!$E$5:$E$22,$G111&amp;" "&amp;$E111)))&gt;0,0),0)),"Бусад"))</f>
        <v/>
      </c>
      <c r="M111" s="2"/>
      <c r="N111" s="2" t="str">
        <f aca="false">IF($G111="","",IF($M111&lt;&gt;"",$M111,$L111))</f>
        <v/>
      </c>
      <c r="O111" s="2" t="str">
        <f aca="false" t="array" ref="O111:O111">IF($G111="","",IFERROR(INDEX(Ангилал!$G$5:$G$16,MATCH(TRUE(),INDEX(ISNUMBER(SEARCH(Ангилал!$H$5:$H$16,$G111&amp;" "&amp;$E111))+ISNUMBER(SEARCH(Ангилал!$I$5:$I$16,$G111&amp;" "&amp;$E111))+ISNUMBER(SEARCH(Ангилал!$J$5:$J$16,$G111&amp;" "&amp;$E111))+ISNUMBER(SEARCH(Ангилал!$K$5:$K$16,$G111&amp;" "&amp;$E111))&gt;0,0),0)),"Ерөнхий нийт"))</f>
        <v/>
      </c>
      <c r="P111" s="2"/>
      <c r="Q111" s="2" t="str">
        <f aca="false">IF($G111="","",IF($P111&lt;&gt;"",$P111,$O111))</f>
        <v/>
      </c>
    </row>
    <row r="112" customFormat="false" ht="72" hidden="false" customHeight="true" outlineLevel="0" collapsed="false">
      <c r="A112" s="9" t="n">
        <v>95</v>
      </c>
      <c r="B112" s="10" t="s">
        <v>592</v>
      </c>
      <c r="C112" s="10" t="s">
        <v>592</v>
      </c>
      <c r="D112" s="10" t="s">
        <v>1557</v>
      </c>
      <c r="E112" s="10" t="s">
        <v>1558</v>
      </c>
      <c r="F112" s="10" t="s">
        <v>1559</v>
      </c>
      <c r="G112" s="10" t="s">
        <v>1129</v>
      </c>
      <c r="H112" s="10"/>
      <c r="I112" s="10" t="s">
        <v>1047</v>
      </c>
      <c r="J112" s="12" t="s">
        <v>1560</v>
      </c>
      <c r="K112" s="2"/>
      <c r="L112" s="2" t="str">
        <f aca="false" t="array" ref="L112:L112">IF($G112="","",IFERROR(INDEX(Ангилал!$A$5:$A$22,MATCH(TRUE(),INDEX(ISNUMBER(SEARCH(Ангилал!$B$5:$B$22,$G112&amp;" "&amp;$E112))+ISNUMBER(SEARCH(Ангилал!$C$5:$C$22,$G112&amp;" "&amp;$E112))+IF(Ангилал!$D$5:$D$22="",0,ISNUMBER(SEARCH(Ангилал!$D$5:$D$22,$G112&amp;" "&amp;$E112)))+IF(Ангилал!$E$5:$E$22="",0,ISNUMBER(SEARCH(Ангилал!$E$5:$E$22,$G112&amp;" "&amp;$E112)))&gt;0,0),0)),"Бусад"))</f>
        <v>Хүнс, ус, орон сууцны эрх</v>
      </c>
      <c r="M112" s="2"/>
      <c r="N112" s="2" t="str">
        <f aca="false">IF($G112="","",IF($M112&lt;&gt;"",$M112,$L112))</f>
        <v>Хүнс, ус, орон сууцны эрх</v>
      </c>
      <c r="O112" s="2" t="str">
        <f aca="false" t="array" ref="O112:O112">IF($G112="","",IFERROR(INDEX(Ангилал!$G$5:$G$16,MATCH(TRUE(),INDEX(ISNUMBER(SEARCH(Ангилал!$H$5:$H$16,$G112&amp;" "&amp;$E112))+ISNUMBER(SEARCH(Ангилал!$I$5:$I$16,$G112&amp;" "&amp;$E112))+ISNUMBER(SEARCH(Ангилал!$J$5:$J$16,$G112&amp;" "&amp;$E112))+ISNUMBER(SEARCH(Ангилал!$K$5:$K$16,$G112&amp;" "&amp;$E112))&gt;0,0),0)),"Ерөнхий нийт"))</f>
        <v>Ахмад настан</v>
      </c>
      <c r="P112" s="2"/>
      <c r="Q112" s="2" t="str">
        <f aca="false">IF($G112="","",IF($P112&lt;&gt;"",$P112,$O112))</f>
        <v>Ахмад настан</v>
      </c>
    </row>
    <row r="113" customFormat="false" ht="115.5" hidden="false" customHeight="true" outlineLevel="0" collapsed="false">
      <c r="A113" s="9" t="n">
        <v>96</v>
      </c>
      <c r="B113" s="10" t="s">
        <v>1561</v>
      </c>
      <c r="C113" s="10" t="s">
        <v>397</v>
      </c>
      <c r="D113" s="10" t="s">
        <v>1562</v>
      </c>
      <c r="E113" s="10" t="s">
        <v>1563</v>
      </c>
      <c r="F113" s="10" t="s">
        <v>1564</v>
      </c>
      <c r="G113" s="10" t="s">
        <v>1565</v>
      </c>
      <c r="H113" s="10"/>
      <c r="I113" s="10" t="s">
        <v>1088</v>
      </c>
      <c r="J113" s="12" t="s">
        <v>1566</v>
      </c>
      <c r="K113" s="2"/>
      <c r="L113" s="2" t="str">
        <f aca="false" t="array" ref="L113:L113">IF($G113="","",IFERROR(INDEX(Ангилал!$A$5:$A$22,MATCH(TRUE(),INDEX(ISNUMBER(SEARCH(Ангилал!$B$5:$B$22,$G113&amp;" "&amp;$E113))+ISNUMBER(SEARCH(Ангилал!$C$5:$C$22,$G113&amp;" "&amp;$E113))+IF(Ангилал!$D$5:$D$22="",0,ISNUMBER(SEARCH(Ангилал!$D$5:$D$22,$G113&amp;" "&amp;$E113)))+IF(Ангилал!$E$5:$E$22="",0,ISNUMBER(SEARCH(Ангилал!$E$5:$E$22,$G113&amp;" "&amp;$E113)))&gt;0,0),0)),"Бусад"))</f>
        <v>Шударга шүүхээр шүүлгэх эрх</v>
      </c>
      <c r="M113" s="2"/>
      <c r="N113" s="2" t="str">
        <f aca="false">IF($G113="","",IF($M113&lt;&gt;"",$M113,$L113))</f>
        <v>Шударга шүүхээр шүүлгэх эрх</v>
      </c>
      <c r="O113" s="2" t="str">
        <f aca="false" t="array" ref="O113:O113">IF($G113="","",IFERROR(INDEX(Ангилал!$G$5:$G$16,MATCH(TRUE(),INDEX(ISNUMBER(SEARCH(Ангилал!$H$5:$H$16,$G113&amp;" "&amp;$E113))+ISNUMBER(SEARCH(Ангилал!$I$5:$I$16,$G113&amp;" "&amp;$E113))+ISNUMBER(SEARCH(Ангилал!$J$5:$J$16,$G113&amp;" "&amp;$E113))+ISNUMBER(SEARCH(Ангилал!$K$5:$K$16,$G113&amp;" "&amp;$E113))&gt;0,0),0)),"Ерөнхий нийт"))</f>
        <v>Ерөнхий нийт</v>
      </c>
      <c r="P113" s="2"/>
      <c r="Q113" s="2" t="str">
        <f aca="false">IF($G113="","",IF($P113&lt;&gt;"",$P113,$O113))</f>
        <v>Ерөнхий нийт</v>
      </c>
    </row>
    <row r="114" customFormat="false" ht="101.25" hidden="false" customHeight="true" outlineLevel="0" collapsed="false">
      <c r="A114" s="9" t="n">
        <v>97</v>
      </c>
      <c r="B114" s="10" t="s">
        <v>1561</v>
      </c>
      <c r="C114" s="10" t="s">
        <v>1561</v>
      </c>
      <c r="D114" s="10" t="s">
        <v>1567</v>
      </c>
      <c r="E114" s="10" t="s">
        <v>1568</v>
      </c>
      <c r="F114" s="10" t="s">
        <v>1569</v>
      </c>
      <c r="G114" s="10" t="s">
        <v>1570</v>
      </c>
      <c r="H114" s="10"/>
      <c r="I114" s="10" t="s">
        <v>1292</v>
      </c>
      <c r="J114" s="12" t="s">
        <v>1571</v>
      </c>
      <c r="K114" s="2"/>
      <c r="L114" s="2" t="str">
        <f aca="false" t="array" ref="L114:L114">IF($G114="","",IFERROR(INDEX(Ангилал!$A$5:$A$22,MATCH(TRUE(),INDEX(ISNUMBER(SEARCH(Ангилал!$B$5:$B$22,$G114&amp;" "&amp;$E114))+ISNUMBER(SEARCH(Ангилал!$C$5:$C$22,$G114&amp;" "&amp;$E114))+IF(Ангилал!$D$5:$D$22="",0,ISNUMBER(SEARCH(Ангилал!$D$5:$D$22,$G114&amp;" "&amp;$E114)))+IF(Ангилал!$E$5:$E$22="",0,ISNUMBER(SEARCH(Ангилал!$E$5:$E$22,$G114&amp;" "&amp;$E114)))&gt;0,0),0)),"Бусад"))</f>
        <v>Амьд явах, халдашгүй байх эрх</v>
      </c>
      <c r="M114" s="2"/>
      <c r="N114" s="2" t="str">
        <f aca="false">IF($G114="","",IF($M114&lt;&gt;"",$M114,$L114))</f>
        <v>Амьд явах, халдашгүй байх эрх</v>
      </c>
      <c r="O114" s="2" t="str">
        <f aca="false" t="array" ref="O114:O114">IF($G114="","",IFERROR(INDEX(Ангилал!$G$5:$G$16,MATCH(TRUE(),INDEX(ISNUMBER(SEARCH(Ангилал!$H$5:$H$16,$G114&amp;" "&amp;$E114))+ISNUMBER(SEARCH(Ангилал!$I$5:$I$16,$G114&amp;" "&amp;$E114))+ISNUMBER(SEARCH(Ангилал!$J$5:$J$16,$G114&amp;" "&amp;$E114))+ISNUMBER(SEARCH(Ангилал!$K$5:$K$16,$G114&amp;" "&amp;$E114))&gt;0,0),0)),"Ерөнхий нийт"))</f>
        <v>Ерөнхий нийт</v>
      </c>
      <c r="P114" s="2"/>
      <c r="Q114" s="2" t="str">
        <f aca="false">IF($G114="","",IF($P114&lt;&gt;"",$P114,$O114))</f>
        <v>Ерөнхий нийт</v>
      </c>
    </row>
    <row r="115" customFormat="false" ht="24" hidden="false" customHeight="true" outlineLevel="0" collapsed="false">
      <c r="A115" s="13" t="s">
        <v>1572</v>
      </c>
      <c r="B115" s="13"/>
      <c r="C115" s="13"/>
      <c r="D115" s="13"/>
      <c r="E115" s="13"/>
      <c r="F115" s="13"/>
      <c r="G115" s="13"/>
      <c r="H115" s="13"/>
      <c r="I115" s="13"/>
      <c r="J115" s="13"/>
      <c r="K115" s="2"/>
      <c r="L115" s="2" t="str">
        <f aca="false" t="array" ref="L115:L115">IF($G115="","",IFERROR(INDEX(Ангилал!$A$5:$A$22,MATCH(TRUE(),INDEX(ISNUMBER(SEARCH(Ангилал!$B$5:$B$22,$G115&amp;" "&amp;$E115))+ISNUMBER(SEARCH(Ангилал!$C$5:$C$22,$G115&amp;" "&amp;$E115))+IF(Ангилал!$D$5:$D$22="",0,ISNUMBER(SEARCH(Ангилал!$D$5:$D$22,$G115&amp;" "&amp;$E115)))+IF(Ангилал!$E$5:$E$22="",0,ISNUMBER(SEARCH(Ангилал!$E$5:$E$22,$G115&amp;" "&amp;$E115)))&gt;0,0),0)),"Бусад"))</f>
        <v/>
      </c>
      <c r="M115" s="2"/>
      <c r="N115" s="2" t="str">
        <f aca="false">IF($G115="","",IF($M115&lt;&gt;"",$M115,$L115))</f>
        <v/>
      </c>
      <c r="O115" s="2" t="str">
        <f aca="false" t="array" ref="O115:O115">IF($G115="","",IFERROR(INDEX(Ангилал!$G$5:$G$16,MATCH(TRUE(),INDEX(ISNUMBER(SEARCH(Ангилал!$H$5:$H$16,$G115&amp;" "&amp;$E115))+ISNUMBER(SEARCH(Ангилал!$I$5:$I$16,$G115&amp;" "&amp;$E115))+ISNUMBER(SEARCH(Ангилал!$J$5:$J$16,$G115&amp;" "&amp;$E115))+ISNUMBER(SEARCH(Ангилал!$K$5:$K$16,$G115&amp;" "&amp;$E115))&gt;0,0),0)),"Ерөнхий нийт"))</f>
        <v/>
      </c>
      <c r="P115" s="2"/>
      <c r="Q115" s="2" t="str">
        <f aca="false">IF($G115="","",IF($P115&lt;&gt;"",$P115,$O115))</f>
        <v/>
      </c>
    </row>
    <row r="116" customFormat="false" ht="72" hidden="false" customHeight="true" outlineLevel="0" collapsed="false">
      <c r="A116" s="9" t="n">
        <v>98</v>
      </c>
      <c r="B116" s="10" t="s">
        <v>1573</v>
      </c>
      <c r="C116" s="10" t="s">
        <v>1574</v>
      </c>
      <c r="D116" s="10" t="s">
        <v>1575</v>
      </c>
      <c r="E116" s="10" t="s">
        <v>1576</v>
      </c>
      <c r="F116" s="10" t="s">
        <v>1577</v>
      </c>
      <c r="G116" s="10" t="s">
        <v>96</v>
      </c>
      <c r="H116" s="10" t="s">
        <v>1578</v>
      </c>
      <c r="I116" s="10" t="s">
        <v>1555</v>
      </c>
      <c r="J116" s="12" t="s">
        <v>1579</v>
      </c>
      <c r="K116" s="2"/>
      <c r="L116" s="2" t="str">
        <f aca="false" t="array" ref="L116:L116">IF($G116="","",IFERROR(INDEX(Ангилал!$A$5:$A$22,MATCH(TRUE(),INDEX(ISNUMBER(SEARCH(Ангилал!$B$5:$B$22,$G116&amp;" "&amp;$E116))+ISNUMBER(SEARCH(Ангилал!$C$5:$C$22,$G116&amp;" "&amp;$E116))+IF(Ангилал!$D$5:$D$22="",0,ISNUMBER(SEARCH(Ангилал!$D$5:$D$22,$G116&amp;" "&amp;$E116)))+IF(Ангилал!$E$5:$E$22="",0,ISNUMBER(SEARCH(Ангилал!$E$5:$E$22,$G116&amp;" "&amp;$E116)))&gt;0,0),0)),"Бусад"))</f>
        <v>Эрүүл, аюулгүй орчинд амьдрах эрх</v>
      </c>
      <c r="M116" s="2"/>
      <c r="N116" s="2" t="str">
        <f aca="false">IF($G116="","",IF($M116&lt;&gt;"",$M116,$L116))</f>
        <v>Эрүүл, аюулгүй орчинд амьдрах эрх</v>
      </c>
      <c r="O116" s="2" t="str">
        <f aca="false" t="array" ref="O116:O116">IF($G116="","",IFERROR(INDEX(Ангилал!$G$5:$G$16,MATCH(TRUE(),INDEX(ISNUMBER(SEARCH(Ангилал!$H$5:$H$16,$G116&amp;" "&amp;$E116))+ISNUMBER(SEARCH(Ангилал!$I$5:$I$16,$G116&amp;" "&amp;$E116))+ISNUMBER(SEARCH(Ангилал!$J$5:$J$16,$G116&amp;" "&amp;$E116))+ISNUMBER(SEARCH(Ангилал!$K$5:$K$16,$G116&amp;" "&amp;$E116))&gt;0,0),0)),"Ерөнхий нийт"))</f>
        <v>Ерөнхий нийт</v>
      </c>
      <c r="P116" s="2"/>
      <c r="Q116" s="2" t="str">
        <f aca="false">IF($G116="","",IF($P116&lt;&gt;"",$P116,$O116))</f>
        <v>Ерөнхий нийт</v>
      </c>
    </row>
    <row r="117" customFormat="false" ht="72" hidden="false" customHeight="true" outlineLevel="0" collapsed="false">
      <c r="A117" s="9" t="n">
        <v>99</v>
      </c>
      <c r="B117" s="10" t="s">
        <v>1580</v>
      </c>
      <c r="C117" s="10" t="s">
        <v>1580</v>
      </c>
      <c r="D117" s="10" t="s">
        <v>1581</v>
      </c>
      <c r="E117" s="10" t="s">
        <v>1582</v>
      </c>
      <c r="F117" s="10" t="s">
        <v>1064</v>
      </c>
      <c r="G117" s="10" t="s">
        <v>1186</v>
      </c>
      <c r="H117" s="10"/>
      <c r="I117" s="10" t="s">
        <v>1555</v>
      </c>
      <c r="J117" s="12" t="s">
        <v>1583</v>
      </c>
      <c r="K117" s="2"/>
      <c r="L117" s="2" t="str">
        <f aca="false" t="array" ref="L117:L117">IF($G117="","",IFERROR(INDEX(Ангилал!$A$5:$A$22,MATCH(TRUE(),INDEX(ISNUMBER(SEARCH(Ангилал!$B$5:$B$22,$G117&amp;" "&amp;$E117))+ISNUMBER(SEARCH(Ангилал!$C$5:$C$22,$G117&amp;" "&amp;$E117))+IF(Ангилал!$D$5:$D$22="",0,ISNUMBER(SEARCH(Ангилал!$D$5:$D$22,$G117&amp;" "&amp;$E117)))+IF(Ангилал!$E$5:$E$22="",0,ISNUMBER(SEARCH(Ангилал!$E$5:$E$22,$G117&amp;" "&amp;$E117)))&gt;0,0),0)),"Бусад"))</f>
        <v>Амьд явах, халдашгүй байх эрх</v>
      </c>
      <c r="M117" s="2"/>
      <c r="N117" s="2" t="str">
        <f aca="false">IF($G117="","",IF($M117&lt;&gt;"",$M117,$L117))</f>
        <v>Амьд явах, халдашгүй байх эрх</v>
      </c>
      <c r="O117" s="2" t="str">
        <f aca="false" t="array" ref="O117:O117">IF($G117="","",IFERROR(INDEX(Ангилал!$G$5:$G$16,MATCH(TRUE(),INDEX(ISNUMBER(SEARCH(Ангилал!$H$5:$H$16,$G117&amp;" "&amp;$E117))+ISNUMBER(SEARCH(Ангилал!$I$5:$I$16,$G117&amp;" "&amp;$E117))+ISNUMBER(SEARCH(Ангилал!$J$5:$J$16,$G117&amp;" "&amp;$E117))+ISNUMBER(SEARCH(Ангилал!$K$5:$K$16,$G117&amp;" "&amp;$E117))&gt;0,0),0)),"Ерөнхий нийт"))</f>
        <v>Ерөнхий нийт</v>
      </c>
      <c r="P117" s="2"/>
      <c r="Q117" s="2" t="str">
        <f aca="false">IF($G117="","",IF($P117&lt;&gt;"",$P117,$O117))</f>
        <v>Ерөнхий нийт</v>
      </c>
    </row>
    <row r="118" customFormat="false" ht="101.25" hidden="false" customHeight="true" outlineLevel="0" collapsed="false">
      <c r="A118" s="9" t="n">
        <v>100</v>
      </c>
      <c r="B118" s="10" t="s">
        <v>1584</v>
      </c>
      <c r="C118" s="10" t="s">
        <v>1584</v>
      </c>
      <c r="D118" s="10" t="s">
        <v>1585</v>
      </c>
      <c r="E118" s="10" t="s">
        <v>1586</v>
      </c>
      <c r="F118" s="10" t="s">
        <v>1471</v>
      </c>
      <c r="G118" s="10" t="s">
        <v>1587</v>
      </c>
      <c r="H118" s="10" t="s">
        <v>1588</v>
      </c>
      <c r="I118" s="10" t="s">
        <v>1589</v>
      </c>
      <c r="J118" s="12" t="s">
        <v>1590</v>
      </c>
      <c r="K118" s="2"/>
      <c r="L118" s="2" t="str">
        <f aca="false" t="array" ref="L118:L118">IF($G118="","",IFERROR(INDEX(Ангилал!$A$5:$A$22,MATCH(TRUE(),INDEX(ISNUMBER(SEARCH(Ангилал!$B$5:$B$22,$G118&amp;" "&amp;$E118))+ISNUMBER(SEARCH(Ангилал!$C$5:$C$22,$G118&amp;" "&amp;$E118))+IF(Ангилал!$D$5:$D$22="",0,ISNUMBER(SEARCH(Ангилал!$D$5:$D$22,$G118&amp;" "&amp;$E118)))+IF(Ангилал!$E$5:$E$22="",0,ISNUMBER(SEARCH(Ангилал!$E$5:$E$22,$G118&amp;" "&amp;$E118)))&gt;0,0),0)),"Бусад"))</f>
        <v>Үзэл бодлоо илэрхийлэх, мэдээллийн эрх</v>
      </c>
      <c r="M118" s="2"/>
      <c r="N118" s="2" t="str">
        <f aca="false">IF($G118="","",IF($M118&lt;&gt;"",$M118,$L118))</f>
        <v>Үзэл бодлоо илэрхийлэх, мэдээллийн эрх</v>
      </c>
      <c r="O118" s="2" t="str">
        <f aca="false" t="array" ref="O118:O118">IF($G118="","",IFERROR(INDEX(Ангилал!$G$5:$G$16,MATCH(TRUE(),INDEX(ISNUMBER(SEARCH(Ангилал!$H$5:$H$16,$G118&amp;" "&amp;$E118))+ISNUMBER(SEARCH(Ангилал!$I$5:$I$16,$G118&amp;" "&amp;$E118))+ISNUMBER(SEARCH(Ангилал!$J$5:$J$16,$G118&amp;" "&amp;$E118))+ISNUMBER(SEARCH(Ангилал!$K$5:$K$16,$G118&amp;" "&amp;$E118))&gt;0,0),0)),"Ерөнхий нийт"))</f>
        <v>Ерөнхий нийт</v>
      </c>
      <c r="P118" s="2"/>
      <c r="Q118" s="2" t="str">
        <f aca="false">IF($G118="","",IF($P118&lt;&gt;"",$P118,$O118))</f>
        <v>Ерөнхий нийт</v>
      </c>
    </row>
    <row r="119" customFormat="false" ht="173.25" hidden="false" customHeight="true" outlineLevel="0" collapsed="false">
      <c r="A119" s="9" t="n">
        <v>101</v>
      </c>
      <c r="B119" s="10" t="s">
        <v>1591</v>
      </c>
      <c r="C119" s="10" t="s">
        <v>1591</v>
      </c>
      <c r="D119" s="10" t="s">
        <v>1592</v>
      </c>
      <c r="E119" s="10" t="s">
        <v>1593</v>
      </c>
      <c r="F119" s="10" t="s">
        <v>1424</v>
      </c>
      <c r="G119" s="10" t="s">
        <v>1594</v>
      </c>
      <c r="H119" s="10" t="s">
        <v>1595</v>
      </c>
      <c r="I119" s="10" t="s">
        <v>1528</v>
      </c>
      <c r="J119" s="12" t="s">
        <v>1596</v>
      </c>
      <c r="K119" s="2"/>
      <c r="L119" s="2" t="str">
        <f aca="false" t="array" ref="L119:L119">IF($G119="","",IFERROR(INDEX(Ангилал!$A$5:$A$22,MATCH(TRUE(),INDEX(ISNUMBER(SEARCH(Ангилал!$B$5:$B$22,$G119&amp;" "&amp;$E119))+ISNUMBER(SEARCH(Ангилал!$C$5:$C$22,$G119&amp;" "&amp;$E119))+IF(Ангилал!$D$5:$D$22="",0,ISNUMBER(SEARCH(Ангилал!$D$5:$D$22,$G119&amp;" "&amp;$E119)))+IF(Ангилал!$E$5:$E$22="",0,ISNUMBER(SEARCH(Ангилал!$E$5:$E$22,$G119&amp;" "&amp;$E119)))&gt;0,0),0)),"Бусад"))</f>
        <v>Бусад</v>
      </c>
      <c r="M119" s="2"/>
      <c r="N119" s="2" t="str">
        <f aca="false">IF($G119="","",IF($M119&lt;&gt;"",$M119,$L119))</f>
        <v>Бусад</v>
      </c>
      <c r="O119" s="2" t="str">
        <f aca="false" t="array" ref="O119:O119">IF($G119="","",IFERROR(INDEX(Ангилал!$G$5:$G$16,MATCH(TRUE(),INDEX(ISNUMBER(SEARCH(Ангилал!$H$5:$H$16,$G119&amp;" "&amp;$E119))+ISNUMBER(SEARCH(Ангилал!$I$5:$I$16,$G119&amp;" "&amp;$E119))+ISNUMBER(SEARCH(Ангилал!$J$5:$J$16,$G119&amp;" "&amp;$E119))+ISNUMBER(SEARCH(Ангилал!$K$5:$K$16,$G119&amp;" "&amp;$E119))&gt;0,0),0)),"Ерөнхий нийт"))</f>
        <v>Ерөнхий нийт</v>
      </c>
      <c r="P119" s="2"/>
      <c r="Q119" s="2" t="str">
        <f aca="false">IF($G119="","",IF($P119&lt;&gt;"",$P119,$O119))</f>
        <v>Ерөнхий нийт</v>
      </c>
    </row>
    <row r="120" customFormat="false" ht="24" hidden="false" customHeight="true" outlineLevel="0" collapsed="false">
      <c r="A120" s="13" t="s">
        <v>1597</v>
      </c>
      <c r="B120" s="13"/>
      <c r="C120" s="13"/>
      <c r="D120" s="13"/>
      <c r="E120" s="13"/>
      <c r="F120" s="13"/>
      <c r="G120" s="13"/>
      <c r="H120" s="13"/>
      <c r="I120" s="13"/>
      <c r="J120" s="13"/>
      <c r="K120" s="2"/>
      <c r="L120" s="2" t="str">
        <f aca="false" t="array" ref="L120:L120">IF($G120="","",IFERROR(INDEX(Ангилал!$A$5:$A$22,MATCH(TRUE(),INDEX(ISNUMBER(SEARCH(Ангилал!$B$5:$B$22,$G120&amp;" "&amp;$E120))+ISNUMBER(SEARCH(Ангилал!$C$5:$C$22,$G120&amp;" "&amp;$E120))+IF(Ангилал!$D$5:$D$22="",0,ISNUMBER(SEARCH(Ангилал!$D$5:$D$22,$G120&amp;" "&amp;$E120)))+IF(Ангилал!$E$5:$E$22="",0,ISNUMBER(SEARCH(Ангилал!$E$5:$E$22,$G120&amp;" "&amp;$E120)))&gt;0,0),0)),"Бусад"))</f>
        <v/>
      </c>
      <c r="M120" s="2"/>
      <c r="N120" s="2" t="str">
        <f aca="false">IF($G120="","",IF($M120&lt;&gt;"",$M120,$L120))</f>
        <v/>
      </c>
      <c r="O120" s="2" t="str">
        <f aca="false" t="array" ref="O120:O120">IF($G120="","",IFERROR(INDEX(Ангилал!$G$5:$G$16,MATCH(TRUE(),INDEX(ISNUMBER(SEARCH(Ангилал!$H$5:$H$16,$G120&amp;" "&amp;$E120))+ISNUMBER(SEARCH(Ангилал!$I$5:$I$16,$G120&amp;" "&amp;$E120))+ISNUMBER(SEARCH(Ангилал!$J$5:$J$16,$G120&amp;" "&amp;$E120))+ISNUMBER(SEARCH(Ангилал!$K$5:$K$16,$G120&amp;" "&amp;$E120))&gt;0,0),0)),"Ерөнхий нийт"))</f>
        <v/>
      </c>
      <c r="P120" s="2"/>
      <c r="Q120" s="2" t="str">
        <f aca="false">IF($G120="","",IF($P120&lt;&gt;"",$P120,$O120))</f>
        <v/>
      </c>
    </row>
    <row r="121" customFormat="false" ht="159" hidden="false" customHeight="true" outlineLevel="0" collapsed="false">
      <c r="A121" s="9" t="n">
        <v>102</v>
      </c>
      <c r="B121" s="10" t="s">
        <v>1598</v>
      </c>
      <c r="C121" s="10" t="s">
        <v>1599</v>
      </c>
      <c r="D121" s="10" t="s">
        <v>1600</v>
      </c>
      <c r="E121" s="10" t="s">
        <v>1601</v>
      </c>
      <c r="F121" s="10" t="s">
        <v>1358</v>
      </c>
      <c r="G121" s="10" t="s">
        <v>1602</v>
      </c>
      <c r="H121" s="10" t="s">
        <v>1603</v>
      </c>
      <c r="I121" s="10" t="s">
        <v>1604</v>
      </c>
      <c r="J121" s="12" t="s">
        <v>1605</v>
      </c>
      <c r="K121" s="2"/>
      <c r="L121" s="2" t="str">
        <f aca="false" t="array" ref="L121:L121">IF($G121="","",IFERROR(INDEX(Ангилал!$A$5:$A$22,MATCH(TRUE(),INDEX(ISNUMBER(SEARCH(Ангилал!$B$5:$B$22,$G121&amp;" "&amp;$E121))+ISNUMBER(SEARCH(Ангилал!$C$5:$C$22,$G121&amp;" "&amp;$E121))+IF(Ангилал!$D$5:$D$22="",0,ISNUMBER(SEARCH(Ангилал!$D$5:$D$22,$G121&amp;" "&amp;$E121)))+IF(Ангилал!$E$5:$E$22="",0,ISNUMBER(SEARCH(Ангилал!$E$5:$E$22,$G121&amp;" "&amp;$E121)))&gt;0,0),0)),"Бусад"))</f>
        <v>Амьд явах, халдашгүй байх эрх</v>
      </c>
      <c r="M121" s="2"/>
      <c r="N121" s="2" t="str">
        <f aca="false">IF($G121="","",IF($M121&lt;&gt;"",$M121,$L121))</f>
        <v>Амьд явах, халдашгүй байх эрх</v>
      </c>
      <c r="O121" s="2" t="str">
        <f aca="false" t="array" ref="O121:O121">IF($G121="","",IFERROR(INDEX(Ангилал!$G$5:$G$16,MATCH(TRUE(),INDEX(ISNUMBER(SEARCH(Ангилал!$H$5:$H$16,$G121&amp;" "&amp;$E121))+ISNUMBER(SEARCH(Ангилал!$I$5:$I$16,$G121&amp;" "&amp;$E121))+ISNUMBER(SEARCH(Ангилал!$J$5:$J$16,$G121&amp;" "&amp;$E121))+ISNUMBER(SEARCH(Ангилал!$K$5:$K$16,$G121&amp;" "&amp;$E121))&gt;0,0),0)),"Ерөнхий нийт"))</f>
        <v>Ерөнхий нийт</v>
      </c>
      <c r="P121" s="2"/>
      <c r="Q121" s="2" t="str">
        <f aca="false">IF($G121="","",IF($P121&lt;&gt;"",$P121,$O121))</f>
        <v>Ерөнхий нийт</v>
      </c>
    </row>
    <row r="122" customFormat="false" ht="187.5" hidden="false" customHeight="true" outlineLevel="0" collapsed="false">
      <c r="A122" s="9" t="n">
        <v>103</v>
      </c>
      <c r="B122" s="10" t="s">
        <v>1606</v>
      </c>
      <c r="C122" s="10" t="s">
        <v>1606</v>
      </c>
      <c r="D122" s="10" t="s">
        <v>1607</v>
      </c>
      <c r="E122" s="10" t="s">
        <v>1608</v>
      </c>
      <c r="F122" s="10" t="s">
        <v>1609</v>
      </c>
      <c r="G122" s="10" t="s">
        <v>1610</v>
      </c>
      <c r="H122" s="10" t="s">
        <v>1611</v>
      </c>
      <c r="I122" s="10" t="s">
        <v>1462</v>
      </c>
      <c r="J122" s="12" t="s">
        <v>1612</v>
      </c>
      <c r="K122" s="2"/>
      <c r="L122" s="2" t="str">
        <f aca="false" t="array" ref="L122:L122">IF($G122="","",IFERROR(INDEX(Ангилал!$A$5:$A$22,MATCH(TRUE(),INDEX(ISNUMBER(SEARCH(Ангилал!$B$5:$B$22,$G122&amp;" "&amp;$E122))+ISNUMBER(SEARCH(Ангилал!$C$5:$C$22,$G122&amp;" "&amp;$E122))+IF(Ангилал!$D$5:$D$22="",0,ISNUMBER(SEARCH(Ангилал!$D$5:$D$22,$G122&amp;" "&amp;$E122)))+IF(Ангилал!$E$5:$E$22="",0,ISNUMBER(SEARCH(Ангилал!$E$5:$E$22,$G122&amp;" "&amp;$E122)))&gt;0,0),0)),"Бусад"))</f>
        <v>Амьд явах, халдашгүй байх эрх</v>
      </c>
      <c r="M122" s="2"/>
      <c r="N122" s="2" t="str">
        <f aca="false">IF($G122="","",IF($M122&lt;&gt;"",$M122,$L122))</f>
        <v>Амьд явах, халдашгүй байх эрх</v>
      </c>
      <c r="O122" s="2" t="str">
        <f aca="false" t="array" ref="O122:O122">IF($G122="","",IFERROR(INDEX(Ангилал!$G$5:$G$16,MATCH(TRUE(),INDEX(ISNUMBER(SEARCH(Ангилал!$H$5:$H$16,$G122&amp;" "&amp;$E122))+ISNUMBER(SEARCH(Ангилал!$I$5:$I$16,$G122&amp;" "&amp;$E122))+ISNUMBER(SEARCH(Ангилал!$J$5:$J$16,$G122&amp;" "&amp;$E122))+ISNUMBER(SEARCH(Ангилал!$K$5:$K$16,$G122&amp;" "&amp;$E122))&gt;0,0),0)),"Ерөнхий нийт"))</f>
        <v>Ерөнхий нийт</v>
      </c>
      <c r="P122" s="2"/>
      <c r="Q122" s="2" t="str">
        <f aca="false">IF($G122="","",IF($P122&lt;&gt;"",$P122,$O122))</f>
        <v>Ерөнхий нийт</v>
      </c>
    </row>
    <row r="123" customFormat="false" ht="57.75" hidden="false" customHeight="true" outlineLevel="0" collapsed="false">
      <c r="A123" s="9" t="n">
        <v>104</v>
      </c>
      <c r="B123" s="10" t="s">
        <v>1613</v>
      </c>
      <c r="C123" s="9" t="n">
        <v>2026.08</v>
      </c>
      <c r="D123" s="10" t="s">
        <v>1614</v>
      </c>
      <c r="E123" s="10" t="s">
        <v>1615</v>
      </c>
      <c r="F123" s="10" t="s">
        <v>1616</v>
      </c>
      <c r="G123" s="10" t="s">
        <v>1617</v>
      </c>
      <c r="H123" s="10" t="s">
        <v>1618</v>
      </c>
      <c r="I123" s="10" t="s">
        <v>1619</v>
      </c>
      <c r="J123" s="12" t="s">
        <v>1620</v>
      </c>
      <c r="K123" s="2"/>
      <c r="L123" s="2" t="str">
        <f aca="false" t="array" ref="L123:L123">IF($G123="","",IFERROR(INDEX(Ангилал!$A$5:$A$22,MATCH(TRUE(),INDEX(ISNUMBER(SEARCH(Ангилал!$B$5:$B$22,$G123&amp;" "&amp;$E123))+ISNUMBER(SEARCH(Ангилал!$C$5:$C$22,$G123&amp;" "&amp;$E123))+IF(Ангилал!$D$5:$D$22="",0,ISNUMBER(SEARCH(Ангилал!$D$5:$D$22,$G123&amp;" "&amp;$E123)))+IF(Ангилал!$E$5:$E$22="",0,ISNUMBER(SEARCH(Ангилал!$E$5:$E$22,$G123&amp;" "&amp;$E123)))&gt;0,0),0)),"Бусад"))</f>
        <v>Хүчирхийлэл, бэлгийн дарамтаас ангид байх</v>
      </c>
      <c r="M123" s="2"/>
      <c r="N123" s="2" t="str">
        <f aca="false">IF($G123="","",IF($M123&lt;&gt;"",$M123,$L123))</f>
        <v>Хүчирхийлэл, бэлгийн дарамтаас ангид байх</v>
      </c>
      <c r="O123" s="2" t="str">
        <f aca="false" t="array" ref="O123:O123">IF($G123="","",IFERROR(INDEX(Ангилал!$G$5:$G$16,MATCH(TRUE(),INDEX(ISNUMBER(SEARCH(Ангилал!$H$5:$H$16,$G123&amp;" "&amp;$E123))+ISNUMBER(SEARCH(Ангилал!$I$5:$I$16,$G123&amp;" "&amp;$E123))+ISNUMBER(SEARCH(Ангилал!$J$5:$J$16,$G123&amp;" "&amp;$E123))+ISNUMBER(SEARCH(Ангилал!$K$5:$K$16,$G123&amp;" "&amp;$E123))&gt;0,0),0)),"Ерөнхий нийт"))</f>
        <v>Ажилчид, хөдөлмөр эрхлэгчид</v>
      </c>
      <c r="P123" s="2"/>
      <c r="Q123" s="2" t="str">
        <f aca="false">IF($G123="","",IF($P123&lt;&gt;"",$P123,$O123))</f>
        <v>Ажилчид, хөдөлмөр эрхлэгчид</v>
      </c>
    </row>
    <row r="124" customFormat="false" ht="24" hidden="false" customHeight="true" outlineLevel="0" collapsed="false">
      <c r="A124" s="13" t="s">
        <v>1621</v>
      </c>
      <c r="B124" s="13"/>
      <c r="C124" s="13"/>
      <c r="D124" s="13"/>
      <c r="E124" s="13"/>
      <c r="F124" s="13"/>
      <c r="G124" s="13"/>
      <c r="H124" s="13"/>
      <c r="I124" s="13"/>
      <c r="J124" s="13"/>
      <c r="K124" s="2"/>
      <c r="L124" s="2" t="str">
        <f aca="false" t="array" ref="L124:L124">IF($G124="","",IFERROR(INDEX(Ангилал!$A$5:$A$22,MATCH(TRUE(),INDEX(ISNUMBER(SEARCH(Ангилал!$B$5:$B$22,$G124&amp;" "&amp;$E124))+ISNUMBER(SEARCH(Ангилал!$C$5:$C$22,$G124&amp;" "&amp;$E124))+IF(Ангилал!$D$5:$D$22="",0,ISNUMBER(SEARCH(Ангилал!$D$5:$D$22,$G124&amp;" "&amp;$E124)))+IF(Ангилал!$E$5:$E$22="",0,ISNUMBER(SEARCH(Ангилал!$E$5:$E$22,$G124&amp;" "&amp;$E124)))&gt;0,0),0)),"Бусад"))</f>
        <v/>
      </c>
      <c r="M124" s="2"/>
      <c r="N124" s="2" t="str">
        <f aca="false">IF($G124="","",IF($M124&lt;&gt;"",$M124,$L124))</f>
        <v/>
      </c>
      <c r="O124" s="2" t="str">
        <f aca="false" t="array" ref="O124:O124">IF($G124="","",IFERROR(INDEX(Ангилал!$G$5:$G$16,MATCH(TRUE(),INDEX(ISNUMBER(SEARCH(Ангилал!$H$5:$H$16,$G124&amp;" "&amp;$E124))+ISNUMBER(SEARCH(Ангилал!$I$5:$I$16,$G124&amp;" "&amp;$E124))+ISNUMBER(SEARCH(Ангилал!$J$5:$J$16,$G124&amp;" "&amp;$E124))+ISNUMBER(SEARCH(Ангилал!$K$5:$K$16,$G124&amp;" "&amp;$E124))&gt;0,0),0)),"Ерөнхий нийт"))</f>
        <v/>
      </c>
      <c r="P124" s="2"/>
      <c r="Q124" s="2" t="str">
        <f aca="false">IF($G124="","",IF($P124&lt;&gt;"",$P124,$O124))</f>
        <v/>
      </c>
    </row>
    <row r="125" customFormat="false" ht="72" hidden="false" customHeight="true" outlineLevel="0" collapsed="false">
      <c r="A125" s="9" t="n">
        <v>105</v>
      </c>
      <c r="B125" s="10" t="s">
        <v>1622</v>
      </c>
      <c r="C125" s="9" t="n">
        <v>2026.08</v>
      </c>
      <c r="D125" s="10" t="s">
        <v>1623</v>
      </c>
      <c r="E125" s="10" t="s">
        <v>1624</v>
      </c>
      <c r="F125" s="10" t="s">
        <v>1625</v>
      </c>
      <c r="G125" s="10" t="s">
        <v>1626</v>
      </c>
      <c r="H125" s="10" t="s">
        <v>1627</v>
      </c>
      <c r="I125" s="10" t="s">
        <v>1628</v>
      </c>
      <c r="J125" s="12" t="s">
        <v>1629</v>
      </c>
      <c r="K125" s="2"/>
      <c r="L125" s="2" t="str">
        <f aca="false" t="array" ref="L125:L125">IF($G125="","",IFERROR(INDEX(Ангилал!$A$5:$A$22,MATCH(TRUE(),INDEX(ISNUMBER(SEARCH(Ангилал!$B$5:$B$22,$G125&amp;" "&amp;$E125))+ISNUMBER(SEARCH(Ангилал!$C$5:$C$22,$G125&amp;" "&amp;$E125))+IF(Ангилал!$D$5:$D$22="",0,ISNUMBER(SEARCH(Ангилал!$D$5:$D$22,$G125&amp;" "&amp;$E125)))+IF(Ангилал!$E$5:$E$22="",0,ISNUMBER(SEARCH(Ангилал!$E$5:$E$22,$G125&amp;" "&amp;$E125)))&gt;0,0),0)),"Бусад"))</f>
        <v>Эрүүдэн шүүлт, хүнлэг бус харьцаа</v>
      </c>
      <c r="M125" s="2"/>
      <c r="N125" s="2" t="str">
        <f aca="false">IF($G125="","",IF($M125&lt;&gt;"",$M125,$L125))</f>
        <v>Эрүүдэн шүүлт, хүнлэг бус харьцаа</v>
      </c>
      <c r="O125" s="2" t="str">
        <f aca="false" t="array" ref="O125:O125">IF($G125="","",IFERROR(INDEX(Ангилал!$G$5:$G$16,MATCH(TRUE(),INDEX(ISNUMBER(SEARCH(Ангилал!$H$5:$H$16,$G125&amp;" "&amp;$E125))+ISNUMBER(SEARCH(Ангилал!$I$5:$I$16,$G125&amp;" "&amp;$E125))+ISNUMBER(SEARCH(Ангилал!$J$5:$J$16,$G125&amp;" "&amp;$E125))+ISNUMBER(SEARCH(Ангилал!$K$5:$K$16,$G125&amp;" "&amp;$E125))&gt;0,0),0)),"Ерөнхий нийт"))</f>
        <v>Хоригдол, саатуулагдсан хүн</v>
      </c>
      <c r="P125" s="2"/>
      <c r="Q125" s="2" t="str">
        <f aca="false">IF($G125="","",IF($P125&lt;&gt;"",$P125,$O125))</f>
        <v>Хоригдол, саатуулагдсан хүн</v>
      </c>
    </row>
    <row r="126" customFormat="false" ht="57.75" hidden="false" customHeight="true" outlineLevel="0" collapsed="false">
      <c r="A126" s="9" t="n">
        <v>106</v>
      </c>
      <c r="B126" s="10" t="s">
        <v>635</v>
      </c>
      <c r="C126" s="10" t="s">
        <v>635</v>
      </c>
      <c r="D126" s="10" t="s">
        <v>1630</v>
      </c>
      <c r="E126" s="10" t="s">
        <v>1631</v>
      </c>
      <c r="F126" s="10" t="s">
        <v>1632</v>
      </c>
      <c r="G126" s="10" t="s">
        <v>1633</v>
      </c>
      <c r="H126" s="10" t="s">
        <v>1634</v>
      </c>
      <c r="I126" s="10" t="s">
        <v>1635</v>
      </c>
      <c r="J126" s="12" t="s">
        <v>1636</v>
      </c>
      <c r="K126" s="2"/>
      <c r="L126" s="2" t="str">
        <f aca="false" t="array" ref="L126:L126">IF($G126="","",IFERROR(INDEX(Ангилал!$A$5:$A$22,MATCH(TRUE(),INDEX(ISNUMBER(SEARCH(Ангилал!$B$5:$B$22,$G126&amp;" "&amp;$E126))+ISNUMBER(SEARCH(Ангилал!$C$5:$C$22,$G126&amp;" "&amp;$E126))+IF(Ангилал!$D$5:$D$22="",0,ISNUMBER(SEARCH(Ангилал!$D$5:$D$22,$G126&amp;" "&amp;$E126)))+IF(Ангилал!$E$5:$E$22="",0,ISNUMBER(SEARCH(Ангилал!$E$5:$E$22,$G126&amp;" "&amp;$E126)))&gt;0,0),0)),"Бусад"))</f>
        <v>Амьд явах, халдашгүй байх эрх</v>
      </c>
      <c r="M126" s="2"/>
      <c r="N126" s="2" t="str">
        <f aca="false">IF($G126="","",IF($M126&lt;&gt;"",$M126,$L126))</f>
        <v>Амьд явах, халдашгүй байх эрх</v>
      </c>
      <c r="O126" s="2" t="str">
        <f aca="false" t="array" ref="O126:O126">IF($G126="","",IFERROR(INDEX(Ангилал!$G$5:$G$16,MATCH(TRUE(),INDEX(ISNUMBER(SEARCH(Ангилал!$H$5:$H$16,$G126&amp;" "&amp;$E126))+ISNUMBER(SEARCH(Ангилал!$I$5:$I$16,$G126&amp;" "&amp;$E126))+ISNUMBER(SEARCH(Ангилал!$J$5:$J$16,$G126&amp;" "&amp;$E126))+ISNUMBER(SEARCH(Ангилал!$K$5:$K$16,$G126&amp;" "&amp;$E126))&gt;0,0),0)),"Ерөнхий нийт"))</f>
        <v>Ерөнхий нийт</v>
      </c>
      <c r="P126" s="2"/>
      <c r="Q126" s="2" t="str">
        <f aca="false">IF($G126="","",IF($P126&lt;&gt;"",$P126,$O126))</f>
        <v>Ерөнхий нийт</v>
      </c>
    </row>
    <row r="127" customFormat="false" ht="57.75" hidden="false" customHeight="true" outlineLevel="0" collapsed="false">
      <c r="A127" s="9" t="n">
        <v>107</v>
      </c>
      <c r="B127" s="10" t="s">
        <v>644</v>
      </c>
      <c r="C127" s="10" t="s">
        <v>644</v>
      </c>
      <c r="D127" s="10" t="s">
        <v>1637</v>
      </c>
      <c r="E127" s="10" t="s">
        <v>1638</v>
      </c>
      <c r="F127" s="10" t="s">
        <v>1639</v>
      </c>
      <c r="G127" s="10" t="s">
        <v>1640</v>
      </c>
      <c r="H127" s="10" t="s">
        <v>1303</v>
      </c>
      <c r="I127" s="10" t="s">
        <v>1641</v>
      </c>
      <c r="J127" s="12" t="s">
        <v>1642</v>
      </c>
      <c r="K127" s="2"/>
      <c r="L127" s="2" t="str">
        <f aca="false" t="array" ref="L127:L127">IF($G127="","",IFERROR(INDEX(Ангилал!$A$5:$A$22,MATCH(TRUE(),INDEX(ISNUMBER(SEARCH(Ангилал!$B$5:$B$22,$G127&amp;" "&amp;$E127))+ISNUMBER(SEARCH(Ангилал!$C$5:$C$22,$G127&amp;" "&amp;$E127))+IF(Ангилал!$D$5:$D$22="",0,ISNUMBER(SEARCH(Ангилал!$D$5:$D$22,$G127&amp;" "&amp;$E127)))+IF(Ангилал!$E$5:$E$22="",0,ISNUMBER(SEARCH(Ангилал!$E$5:$E$22,$G127&amp;" "&amp;$E127)))&gt;0,0),0)),"Бусад"))</f>
        <v>Амьд явах, халдашгүй байх эрх</v>
      </c>
      <c r="M127" s="2"/>
      <c r="N127" s="2" t="str">
        <f aca="false">IF($G127="","",IF($M127&lt;&gt;"",$M127,$L127))</f>
        <v>Амьд явах, халдашгүй байх эрх</v>
      </c>
      <c r="O127" s="2" t="str">
        <f aca="false" t="array" ref="O127:O127">IF($G127="","",IFERROR(INDEX(Ангилал!$G$5:$G$16,MATCH(TRUE(),INDEX(ISNUMBER(SEARCH(Ангилал!$H$5:$H$16,$G127&amp;" "&amp;$E127))+ISNUMBER(SEARCH(Ангилал!$I$5:$I$16,$G127&amp;" "&amp;$E127))+ISNUMBER(SEARCH(Ангилал!$J$5:$J$16,$G127&amp;" "&amp;$E127))+ISNUMBER(SEARCH(Ангилал!$K$5:$K$16,$G127&amp;" "&amp;$E127))&gt;0,0),0)),"Ерөнхий нийт"))</f>
        <v>Ерөнхий нийт</v>
      </c>
      <c r="P127" s="2"/>
      <c r="Q127" s="2" t="str">
        <f aca="false">IF($G127="","",IF($P127&lt;&gt;"",$P127,$O127))</f>
        <v>Ерөнхий нийт</v>
      </c>
    </row>
    <row r="128" customFormat="false" ht="24" hidden="false" customHeight="true" outlineLevel="0" collapsed="false">
      <c r="A128" s="13" t="s">
        <v>1643</v>
      </c>
      <c r="B128" s="13"/>
      <c r="C128" s="13"/>
      <c r="D128" s="13"/>
      <c r="E128" s="13"/>
      <c r="F128" s="13"/>
      <c r="G128" s="13"/>
      <c r="H128" s="13"/>
      <c r="I128" s="13"/>
      <c r="J128" s="13"/>
      <c r="K128" s="2"/>
      <c r="L128" s="2" t="str">
        <f aca="false" t="array" ref="L128:L128">IF($G128="","",IFERROR(INDEX(Ангилал!$A$5:$A$22,MATCH(TRUE(),INDEX(ISNUMBER(SEARCH(Ангилал!$B$5:$B$22,$G128&amp;" "&amp;$E128))+ISNUMBER(SEARCH(Ангилал!$C$5:$C$22,$G128&amp;" "&amp;$E128))+IF(Ангилал!$D$5:$D$22="",0,ISNUMBER(SEARCH(Ангилал!$D$5:$D$22,$G128&amp;" "&amp;$E128)))+IF(Ангилал!$E$5:$E$22="",0,ISNUMBER(SEARCH(Ангилал!$E$5:$E$22,$G128&amp;" "&amp;$E128)))&gt;0,0),0)),"Бусад"))</f>
        <v/>
      </c>
      <c r="M128" s="2"/>
      <c r="N128" s="2" t="str">
        <f aca="false">IF($G128="","",IF($M128&lt;&gt;"",$M128,$L128))</f>
        <v/>
      </c>
      <c r="O128" s="2" t="str">
        <f aca="false" t="array" ref="O128:O128">IF($G128="","",IFERROR(INDEX(Ангилал!$G$5:$G$16,MATCH(TRUE(),INDEX(ISNUMBER(SEARCH(Ангилал!$H$5:$H$16,$G128&amp;" "&amp;$E128))+ISNUMBER(SEARCH(Ангилал!$I$5:$I$16,$G128&amp;" "&amp;$E128))+ISNUMBER(SEARCH(Ангилал!$J$5:$J$16,$G128&amp;" "&amp;$E128))+ISNUMBER(SEARCH(Ангилал!$K$5:$K$16,$G128&amp;" "&amp;$E128))&gt;0,0),0)),"Ерөнхий нийт"))</f>
        <v/>
      </c>
      <c r="P128" s="2"/>
      <c r="Q128" s="2" t="str">
        <f aca="false">IF($G128="","",IF($P128&lt;&gt;"",$P128,$O128))</f>
        <v/>
      </c>
    </row>
    <row r="129" customFormat="false" ht="57.75" hidden="false" customHeight="true" outlineLevel="0" collapsed="false">
      <c r="A129" s="9" t="n">
        <v>108</v>
      </c>
      <c r="B129" s="10" t="s">
        <v>1644</v>
      </c>
      <c r="C129" s="10" t="s">
        <v>1645</v>
      </c>
      <c r="D129" s="10" t="s">
        <v>1646</v>
      </c>
      <c r="E129" s="10" t="s">
        <v>1647</v>
      </c>
      <c r="F129" s="10" t="s">
        <v>1648</v>
      </c>
      <c r="G129" s="10" t="s">
        <v>1649</v>
      </c>
      <c r="H129" s="10" t="s">
        <v>1650</v>
      </c>
      <c r="I129" s="10" t="s">
        <v>1651</v>
      </c>
      <c r="J129" s="12" t="s">
        <v>1652</v>
      </c>
      <c r="K129" s="2"/>
      <c r="L129" s="2" t="str">
        <f aca="false" t="array" ref="L129:L129">IF($G129="","",IFERROR(INDEX(Ангилал!$A$5:$A$22,MATCH(TRUE(),INDEX(ISNUMBER(SEARCH(Ангилал!$B$5:$B$22,$G129&amp;" "&amp;$E129))+ISNUMBER(SEARCH(Ангилал!$C$5:$C$22,$G129&amp;" "&amp;$E129))+IF(Ангилал!$D$5:$D$22="",0,ISNUMBER(SEARCH(Ангилал!$D$5:$D$22,$G129&amp;" "&amp;$E129)))+IF(Ангилал!$E$5:$E$22="",0,ISNUMBER(SEARCH(Ангилал!$E$5:$E$22,$G129&amp;" "&amp;$E129)))&gt;0,0),0)),"Бусад"))</f>
        <v>Амьд явах, халдашгүй байх эрх</v>
      </c>
      <c r="M129" s="2"/>
      <c r="N129" s="2" t="str">
        <f aca="false">IF($G129="","",IF($M129&lt;&gt;"",$M129,$L129))</f>
        <v>Амьд явах, халдашгүй байх эрх</v>
      </c>
      <c r="O129" s="2" t="str">
        <f aca="false" t="array" ref="O129:O129">IF($G129="","",IFERROR(INDEX(Ангилал!$G$5:$G$16,MATCH(TRUE(),INDEX(ISNUMBER(SEARCH(Ангилал!$H$5:$H$16,$G129&amp;" "&amp;$E129))+ISNUMBER(SEARCH(Ангилал!$I$5:$I$16,$G129&amp;" "&amp;$E129))+ISNUMBER(SEARCH(Ангилал!$J$5:$J$16,$G129&amp;" "&amp;$E129))+ISNUMBER(SEARCH(Ангилал!$K$5:$K$16,$G129&amp;" "&amp;$E129))&gt;0,0),0)),"Ерөнхий нийт"))</f>
        <v>Ерөнхий нийт</v>
      </c>
      <c r="P129" s="2"/>
      <c r="Q129" s="2" t="str">
        <f aca="false">IF($G129="","",IF($P129&lt;&gt;"",$P129,$O129))</f>
        <v>Ерөнхий нийт</v>
      </c>
    </row>
    <row r="130" customFormat="false" ht="24" hidden="false" customHeight="true" outlineLevel="0" collapsed="false">
      <c r="A130" s="13" t="s">
        <v>1653</v>
      </c>
      <c r="B130" s="13"/>
      <c r="C130" s="13"/>
      <c r="D130" s="13"/>
      <c r="E130" s="13"/>
      <c r="F130" s="13"/>
      <c r="G130" s="13"/>
      <c r="H130" s="13"/>
      <c r="I130" s="13"/>
      <c r="J130" s="13"/>
      <c r="K130" s="2"/>
      <c r="L130" s="2" t="str">
        <f aca="false" t="array" ref="L130:L130">IF($G130="","",IFERROR(INDEX(Ангилал!$A$5:$A$22,MATCH(TRUE(),INDEX(ISNUMBER(SEARCH(Ангилал!$B$5:$B$22,$G130&amp;" "&amp;$E130))+ISNUMBER(SEARCH(Ангилал!$C$5:$C$22,$G130&amp;" "&amp;$E130))+IF(Ангилал!$D$5:$D$22="",0,ISNUMBER(SEARCH(Ангилал!$D$5:$D$22,$G130&amp;" "&amp;$E130)))+IF(Ангилал!$E$5:$E$22="",0,ISNUMBER(SEARCH(Ангилал!$E$5:$E$22,$G130&amp;" "&amp;$E130)))&gt;0,0),0)),"Бусад"))</f>
        <v/>
      </c>
      <c r="M130" s="2"/>
      <c r="N130" s="2" t="str">
        <f aca="false">IF($G130="","",IF($M130&lt;&gt;"",$M130,$L130))</f>
        <v/>
      </c>
      <c r="O130" s="2" t="str">
        <f aca="false" t="array" ref="O130:O130">IF($G130="","",IFERROR(INDEX(Ангилал!$G$5:$G$16,MATCH(TRUE(),INDEX(ISNUMBER(SEARCH(Ангилал!$H$5:$H$16,$G130&amp;" "&amp;$E130))+ISNUMBER(SEARCH(Ангилал!$I$5:$I$16,$G130&amp;" "&amp;$E130))+ISNUMBER(SEARCH(Ангилал!$J$5:$J$16,$G130&amp;" "&amp;$E130))+ISNUMBER(SEARCH(Ангилал!$K$5:$K$16,$G130&amp;" "&amp;$E130))&gt;0,0),0)),"Ерөнхий нийт"))</f>
        <v/>
      </c>
      <c r="P130" s="2"/>
      <c r="Q130" s="2" t="str">
        <f aca="false">IF($G130="","",IF($P130&lt;&gt;"",$P130,$O130))</f>
        <v/>
      </c>
    </row>
    <row r="131" customFormat="false" ht="57.75" hidden="false" customHeight="true" outlineLevel="0" collapsed="false">
      <c r="A131" s="9" t="n">
        <v>109</v>
      </c>
      <c r="B131" s="10" t="s">
        <v>680</v>
      </c>
      <c r="C131" s="10" t="s">
        <v>1654</v>
      </c>
      <c r="D131" s="10" t="s">
        <v>1655</v>
      </c>
      <c r="E131" s="10" t="s">
        <v>1656</v>
      </c>
      <c r="F131" s="10" t="s">
        <v>1657</v>
      </c>
      <c r="G131" s="10" t="s">
        <v>1658</v>
      </c>
      <c r="H131" s="10" t="s">
        <v>1659</v>
      </c>
      <c r="I131" s="10" t="s">
        <v>1660</v>
      </c>
      <c r="J131" s="12" t="s">
        <v>1661</v>
      </c>
      <c r="K131" s="2"/>
      <c r="L131" s="2" t="str">
        <f aca="false" t="array" ref="L131:L131">IF($G131="","",IFERROR(INDEX(Ангилал!$A$5:$A$22,MATCH(TRUE(),INDEX(ISNUMBER(SEARCH(Ангилал!$B$5:$B$22,$G131&amp;" "&amp;$E131))+ISNUMBER(SEARCH(Ангилал!$C$5:$C$22,$G131&amp;" "&amp;$E131))+IF(Ангилал!$D$5:$D$22="",0,ISNUMBER(SEARCH(Ангилал!$D$5:$D$22,$G131&amp;" "&amp;$E131)))+IF(Ангилал!$E$5:$E$22="",0,ISNUMBER(SEARCH(Ангилал!$E$5:$E$22,$G131&amp;" "&amp;$E131)))&gt;0,0),0)),"Бусад"))</f>
        <v>Эрүүдэн шүүлт, хүнлэг бус харьцаа</v>
      </c>
      <c r="M131" s="2"/>
      <c r="N131" s="2" t="str">
        <f aca="false">IF($G131="","",IF($M131&lt;&gt;"",$M131,$L131))</f>
        <v>Эрүүдэн шүүлт, хүнлэг бус харьцаа</v>
      </c>
      <c r="O131" s="2" t="str">
        <f aca="false" t="array" ref="O131:O131">IF($G131="","",IFERROR(INDEX(Ангилал!$G$5:$G$16,MATCH(TRUE(),INDEX(ISNUMBER(SEARCH(Ангилал!$H$5:$H$16,$G131&amp;" "&amp;$E131))+ISNUMBER(SEARCH(Ангилал!$I$5:$I$16,$G131&amp;" "&amp;$E131))+ISNUMBER(SEARCH(Ангилал!$J$5:$J$16,$G131&amp;" "&amp;$E131))+ISNUMBER(SEARCH(Ангилал!$K$5:$K$16,$G131&amp;" "&amp;$E131))&gt;0,0),0)),"Ерөнхий нийт"))</f>
        <v>Ерөнхий нийт</v>
      </c>
      <c r="P131" s="2"/>
      <c r="Q131" s="2" t="str">
        <f aca="false">IF($G131="","",IF($P131&lt;&gt;"",$P131,$O131))</f>
        <v>Ерөнхий нийт</v>
      </c>
    </row>
    <row r="132" customFormat="false" ht="24" hidden="false" customHeight="true" outlineLevel="0" collapsed="false">
      <c r="A132" s="13" t="s">
        <v>696</v>
      </c>
      <c r="B132" s="13"/>
      <c r="C132" s="13"/>
      <c r="D132" s="13"/>
      <c r="E132" s="13"/>
      <c r="F132" s="13"/>
      <c r="G132" s="13"/>
      <c r="H132" s="13"/>
      <c r="I132" s="13"/>
      <c r="J132" s="13"/>
      <c r="K132" s="2"/>
      <c r="L132" s="2" t="str">
        <f aca="false" t="array" ref="L132:L132">IF($G132="","",IFERROR(INDEX(Ангилал!$A$5:$A$22,MATCH(TRUE(),INDEX(ISNUMBER(SEARCH(Ангилал!$B$5:$B$22,$G132&amp;" "&amp;$E132))+ISNUMBER(SEARCH(Ангилал!$C$5:$C$22,$G132&amp;" "&amp;$E132))+IF(Ангилал!$D$5:$D$22="",0,ISNUMBER(SEARCH(Ангилал!$D$5:$D$22,$G132&amp;" "&amp;$E132)))+IF(Ангилал!$E$5:$E$22="",0,ISNUMBER(SEARCH(Ангилал!$E$5:$E$22,$G132&amp;" "&amp;$E132)))&gt;0,0),0)),"Бусад"))</f>
        <v/>
      </c>
      <c r="M132" s="2"/>
      <c r="N132" s="2" t="str">
        <f aca="false">IF($G132="","",IF($M132&lt;&gt;"",$M132,$L132))</f>
        <v/>
      </c>
      <c r="O132" s="2" t="str">
        <f aca="false" t="array" ref="O132:O132">IF($G132="","",IFERROR(INDEX(Ангилал!$G$5:$G$16,MATCH(TRUE(),INDEX(ISNUMBER(SEARCH(Ангилал!$H$5:$H$16,$G132&amp;" "&amp;$E132))+ISNUMBER(SEARCH(Ангилал!$I$5:$I$16,$G132&amp;" "&amp;$E132))+ISNUMBER(SEARCH(Ангилал!$J$5:$J$16,$G132&amp;" "&amp;$E132))+ISNUMBER(SEARCH(Ангилал!$K$5:$K$16,$G132&amp;" "&amp;$E132))&gt;0,0),0)),"Ерөнхий нийт"))</f>
        <v/>
      </c>
      <c r="P132" s="2"/>
      <c r="Q132" s="2" t="str">
        <f aca="false">IF($G132="","",IF($P132&lt;&gt;"",$P132,$O132))</f>
        <v/>
      </c>
    </row>
    <row r="133" customFormat="false" ht="115.5" hidden="false" customHeight="true" outlineLevel="0" collapsed="false">
      <c r="A133" s="9" t="n">
        <v>110</v>
      </c>
      <c r="B133" s="10" t="s">
        <v>725</v>
      </c>
      <c r="C133" s="10" t="s">
        <v>1662</v>
      </c>
      <c r="D133" s="10" t="s">
        <v>1663</v>
      </c>
      <c r="E133" s="10" t="s">
        <v>1664</v>
      </c>
      <c r="F133" s="10" t="s">
        <v>1665</v>
      </c>
      <c r="G133" s="10" t="s">
        <v>1587</v>
      </c>
      <c r="H133" s="10" t="s">
        <v>1666</v>
      </c>
      <c r="I133" s="10" t="s">
        <v>1660</v>
      </c>
      <c r="J133" s="12" t="s">
        <v>1667</v>
      </c>
      <c r="K133" s="2"/>
      <c r="L133" s="2" t="str">
        <f aca="false" t="array" ref="L133:L133">IF($G133="","",IFERROR(INDEX(Ангилал!$A$5:$A$22,MATCH(TRUE(),INDEX(ISNUMBER(SEARCH(Ангилал!$B$5:$B$22,$G133&amp;" "&amp;$E133))+ISNUMBER(SEARCH(Ангилал!$C$5:$C$22,$G133&amp;" "&amp;$E133))+IF(Ангилал!$D$5:$D$22="",0,ISNUMBER(SEARCH(Ангилал!$D$5:$D$22,$G133&amp;" "&amp;$E133)))+IF(Ангилал!$E$5:$E$22="",0,ISNUMBER(SEARCH(Ангилал!$E$5:$E$22,$G133&amp;" "&amp;$E133)))&gt;0,0),0)),"Бусад"))</f>
        <v>Үзэл бодлоо илэрхийлэх, мэдээллийн эрх</v>
      </c>
      <c r="M133" s="2"/>
      <c r="N133" s="2" t="str">
        <f aca="false">IF($G133="","",IF($M133&lt;&gt;"",$M133,$L133))</f>
        <v>Үзэл бодлоо илэрхийлэх, мэдээллийн эрх</v>
      </c>
      <c r="O133" s="2" t="str">
        <f aca="false" t="array" ref="O133:O133">IF($G133="","",IFERROR(INDEX(Ангилал!$G$5:$G$16,MATCH(TRUE(),INDEX(ISNUMBER(SEARCH(Ангилал!$H$5:$H$16,$G133&amp;" "&amp;$E133))+ISNUMBER(SEARCH(Ангилал!$I$5:$I$16,$G133&amp;" "&amp;$E133))+ISNUMBER(SEARCH(Ангилал!$J$5:$J$16,$G133&amp;" "&amp;$E133))+ISNUMBER(SEARCH(Ангилал!$K$5:$K$16,$G133&amp;" "&amp;$E133))&gt;0,0),0)),"Ерөнхий нийт"))</f>
        <v>Сэтгүүлч, хүний эрхийн хамгаалагч</v>
      </c>
      <c r="P133" s="2"/>
      <c r="Q133" s="2" t="str">
        <f aca="false">IF($G133="","",IF($P133&lt;&gt;"",$P133,$O133))</f>
        <v>Сэтгүүлч, хүний эрхийн хамгаалагч</v>
      </c>
    </row>
    <row r="134" customFormat="false" ht="115.5" hidden="false" customHeight="true" outlineLevel="0" collapsed="false">
      <c r="A134" s="9" t="n">
        <v>111</v>
      </c>
      <c r="B134" s="10" t="s">
        <v>725</v>
      </c>
      <c r="C134" s="10" t="s">
        <v>1668</v>
      </c>
      <c r="D134" s="10" t="s">
        <v>1669</v>
      </c>
      <c r="E134" s="10" t="s">
        <v>1670</v>
      </c>
      <c r="F134" s="10" t="s">
        <v>1671</v>
      </c>
      <c r="G134" s="10" t="s">
        <v>1672</v>
      </c>
      <c r="H134" s="10" t="s">
        <v>1673</v>
      </c>
      <c r="I134" s="10" t="s">
        <v>1660</v>
      </c>
      <c r="J134" s="12" t="s">
        <v>1674</v>
      </c>
      <c r="K134" s="2"/>
      <c r="L134" s="2" t="str">
        <f aca="false" t="array" ref="L134:L134">IF($G134="","",IFERROR(INDEX(Ангилал!$A$5:$A$22,MATCH(TRUE(),INDEX(ISNUMBER(SEARCH(Ангилал!$B$5:$B$22,$G134&amp;" "&amp;$E134))+ISNUMBER(SEARCH(Ангилал!$C$5:$C$22,$G134&amp;" "&amp;$E134))+IF(Ангилал!$D$5:$D$22="",0,ISNUMBER(SEARCH(Ангилал!$D$5:$D$22,$G134&amp;" "&amp;$E134)))+IF(Ангилал!$E$5:$E$22="",0,ISNUMBER(SEARCH(Ангилал!$E$5:$E$22,$G134&amp;" "&amp;$E134)))&gt;0,0),0)),"Бусад"))</f>
        <v>Амьд явах, халдашгүй байх эрх</v>
      </c>
      <c r="M134" s="2"/>
      <c r="N134" s="2" t="str">
        <f aca="false">IF($G134="","",IF($M134&lt;&gt;"",$M134,$L134))</f>
        <v>Амьд явах, халдашгүй байх эрх</v>
      </c>
      <c r="O134" s="2" t="str">
        <f aca="false" t="array" ref="O134:O134">IF($G134="","",IFERROR(INDEX(Ангилал!$G$5:$G$16,MATCH(TRUE(),INDEX(ISNUMBER(SEARCH(Ангилал!$H$5:$H$16,$G134&amp;" "&amp;$E134))+ISNUMBER(SEARCH(Ангилал!$I$5:$I$16,$G134&amp;" "&amp;$E134))+ISNUMBER(SEARCH(Ангилал!$J$5:$J$16,$G134&amp;" "&amp;$E134))+ISNUMBER(SEARCH(Ангилал!$K$5:$K$16,$G134&amp;" "&amp;$E134))&gt;0,0),0)),"Ерөнхий нийт"))</f>
        <v>Дүрвэгсэд, цагаачид</v>
      </c>
      <c r="P134" s="2"/>
      <c r="Q134" s="2" t="str">
        <f aca="false">IF($G134="","",IF($P134&lt;&gt;"",$P134,$O134))</f>
        <v>Дүрвэгсэд, цагаачид</v>
      </c>
    </row>
    <row r="135" customFormat="false" ht="115.5" hidden="false" customHeight="true" outlineLevel="0" collapsed="false">
      <c r="A135" s="9" t="n">
        <v>112</v>
      </c>
      <c r="B135" s="10" t="s">
        <v>725</v>
      </c>
      <c r="C135" s="10" t="s">
        <v>1675</v>
      </c>
      <c r="D135" s="10" t="s">
        <v>1676</v>
      </c>
      <c r="E135" s="10" t="s">
        <v>1677</v>
      </c>
      <c r="F135" s="10" t="s">
        <v>1678</v>
      </c>
      <c r="G135" s="10" t="s">
        <v>1679</v>
      </c>
      <c r="H135" s="10" t="s">
        <v>1680</v>
      </c>
      <c r="I135" s="10" t="s">
        <v>1660</v>
      </c>
      <c r="J135" s="12" t="s">
        <v>1681</v>
      </c>
      <c r="K135" s="2"/>
      <c r="L135" s="2" t="str">
        <f aca="false" t="array" ref="L135:L135">IF($G135="","",IFERROR(INDEX(Ангилал!$A$5:$A$22,MATCH(TRUE(),INDEX(ISNUMBER(SEARCH(Ангилал!$B$5:$B$22,$G135&amp;" "&amp;$E135))+ISNUMBER(SEARCH(Ангилал!$C$5:$C$22,$G135&amp;" "&amp;$E135))+IF(Ангилал!$D$5:$D$22="",0,ISNUMBER(SEARCH(Ангилал!$D$5:$D$22,$G135&amp;" "&amp;$E135)))+IF(Ангилал!$E$5:$E$22="",0,ISNUMBER(SEARCH(Ангилал!$E$5:$E$22,$G135&amp;" "&amp;$E135)))&gt;0,0),0)),"Бусад"))</f>
        <v>Эрүүдэн шүүлт, хүнлэг бус харьцаа</v>
      </c>
      <c r="M135" s="2"/>
      <c r="N135" s="2" t="str">
        <f aca="false">IF($G135="","",IF($M135&lt;&gt;"",$M135,$L135))</f>
        <v>Эрүүдэн шүүлт, хүнлэг бус харьцаа</v>
      </c>
      <c r="O135" s="2" t="str">
        <f aca="false" t="array" ref="O135:O135">IF($G135="","",IFERROR(INDEX(Ангилал!$G$5:$G$16,MATCH(TRUE(),INDEX(ISNUMBER(SEARCH(Ангилал!$H$5:$H$16,$G135&amp;" "&amp;$E135))+ISNUMBER(SEARCH(Ангилал!$I$5:$I$16,$G135&amp;" "&amp;$E135))+ISNUMBER(SEARCH(Ангилал!$J$5:$J$16,$G135&amp;" "&amp;$E135))+ISNUMBER(SEARCH(Ангилал!$K$5:$K$16,$G135&amp;" "&amp;$E135))&gt;0,0),0)),"Ерөнхий нийт"))</f>
        <v>Хоригдол, саатуулагдсан хүн</v>
      </c>
      <c r="P135" s="2"/>
      <c r="Q135" s="2" t="str">
        <f aca="false">IF($G135="","",IF($P135&lt;&gt;"",$P135,$O135))</f>
        <v>Хоригдол, саатуулагдсан хүн</v>
      </c>
    </row>
    <row r="136" customFormat="false" ht="115.5" hidden="false" customHeight="true" outlineLevel="0" collapsed="false">
      <c r="A136" s="9" t="n">
        <v>113</v>
      </c>
      <c r="B136" s="10" t="s">
        <v>758</v>
      </c>
      <c r="C136" s="10" t="s">
        <v>1682</v>
      </c>
      <c r="D136" s="10" t="s">
        <v>1683</v>
      </c>
      <c r="E136" s="10" t="s">
        <v>1684</v>
      </c>
      <c r="F136" s="10" t="s">
        <v>1685</v>
      </c>
      <c r="G136" s="10" t="s">
        <v>1686</v>
      </c>
      <c r="H136" s="10" t="s">
        <v>1687</v>
      </c>
      <c r="I136" s="10" t="s">
        <v>1660</v>
      </c>
      <c r="J136" s="12" t="s">
        <v>1688</v>
      </c>
      <c r="K136" s="2"/>
      <c r="L136" s="2" t="str">
        <f aca="false" t="array" ref="L136:L136">IF($G136="","",IFERROR(INDEX(Ангилал!$A$5:$A$22,MATCH(TRUE(),INDEX(ISNUMBER(SEARCH(Ангилал!$B$5:$B$22,$G136&amp;" "&amp;$E136))+ISNUMBER(SEARCH(Ангилал!$C$5:$C$22,$G136&amp;" "&amp;$E136))+IF(Ангилал!$D$5:$D$22="",0,ISNUMBER(SEARCH(Ангилал!$D$5:$D$22,$G136&amp;" "&amp;$E136)))+IF(Ангилал!$E$5:$E$22="",0,ISNUMBER(SEARCH(Ангилал!$E$5:$E$22,$G136&amp;" "&amp;$E136)))&gt;0,0),0)),"Бусад"))</f>
        <v>Чөлөөтэй зорчих, эвлэлдэн нэгдэх эрх</v>
      </c>
      <c r="M136" s="2"/>
      <c r="N136" s="2" t="str">
        <f aca="false">IF($G136="","",IF($M136&lt;&gt;"",$M136,$L136))</f>
        <v>Чөлөөтэй зорчих, эвлэлдэн нэгдэх эрх</v>
      </c>
      <c r="O136" s="2" t="str">
        <f aca="false" t="array" ref="O136:O136">IF($G136="","",IFERROR(INDEX(Ангилал!$G$5:$G$16,MATCH(TRUE(),INDEX(ISNUMBER(SEARCH(Ангилал!$H$5:$H$16,$G136&amp;" "&amp;$E136))+ISNUMBER(SEARCH(Ангилал!$I$5:$I$16,$G136&amp;" "&amp;$E136))+ISNUMBER(SEARCH(Ангилал!$J$5:$J$16,$G136&amp;" "&amp;$E136))+ISNUMBER(SEARCH(Ангилал!$K$5:$K$16,$G136&amp;" "&amp;$E136))&gt;0,0),0)),"Ерөнхий нийт"))</f>
        <v>Сэтгүүлч, хүний эрхийн хамгаалагч</v>
      </c>
      <c r="P136" s="2"/>
      <c r="Q136" s="2" t="str">
        <f aca="false">IF($G136="","",IF($P136&lt;&gt;"",$P136,$O136))</f>
        <v>Сэтгүүлч, хүний эрхийн хамгаалагч</v>
      </c>
    </row>
    <row r="137" customFormat="false" ht="115.5" hidden="false" customHeight="true" outlineLevel="0" collapsed="false">
      <c r="A137" s="9" t="n">
        <v>114</v>
      </c>
      <c r="B137" s="10" t="s">
        <v>750</v>
      </c>
      <c r="C137" s="10" t="s">
        <v>862</v>
      </c>
      <c r="D137" s="10" t="s">
        <v>1689</v>
      </c>
      <c r="E137" s="10" t="s">
        <v>1690</v>
      </c>
      <c r="F137" s="10" t="s">
        <v>1691</v>
      </c>
      <c r="G137" s="10" t="s">
        <v>1692</v>
      </c>
      <c r="H137" s="10" t="s">
        <v>1693</v>
      </c>
      <c r="I137" s="10" t="s">
        <v>1660</v>
      </c>
      <c r="J137" s="12" t="s">
        <v>1694</v>
      </c>
      <c r="K137" s="2"/>
      <c r="L137" s="2" t="str">
        <f aca="false" t="array" ref="L137:L137">IF($G137="","",IFERROR(INDEX(Ангилал!$A$5:$A$22,MATCH(TRUE(),INDEX(ISNUMBER(SEARCH(Ангилал!$B$5:$B$22,$G137&amp;" "&amp;$E137))+ISNUMBER(SEARCH(Ангилал!$C$5:$C$22,$G137&amp;" "&amp;$E137))+IF(Ангилал!$D$5:$D$22="",0,ISNUMBER(SEARCH(Ангилал!$D$5:$D$22,$G137&amp;" "&amp;$E137)))+IF(Ангилал!$E$5:$E$22="",0,ISNUMBER(SEARCH(Ангилал!$E$5:$E$22,$G137&amp;" "&amp;$E137)))&gt;0,0),0)),"Бусад"))</f>
        <v>Ялгаварлан гадуурхалтаас ангид байх, тэгш эрх</v>
      </c>
      <c r="M137" s="2"/>
      <c r="N137" s="2" t="str">
        <f aca="false">IF($G137="","",IF($M137&lt;&gt;"",$M137,$L137))</f>
        <v>Ялгаварлан гадуурхалтаас ангид байх, тэгш эрх</v>
      </c>
      <c r="O137" s="2" t="str">
        <f aca="false" t="array" ref="O137:O137">IF($G137="","",IFERROR(INDEX(Ангилал!$G$5:$G$16,MATCH(TRUE(),INDEX(ISNUMBER(SEARCH(Ангилал!$H$5:$H$16,$G137&amp;" "&amp;$E137))+ISNUMBER(SEARCH(Ангилал!$I$5:$I$16,$G137&amp;" "&amp;$E137))+ISNUMBER(SEARCH(Ангилал!$J$5:$J$16,$G137&amp;" "&amp;$E137))+ISNUMBER(SEARCH(Ангилал!$K$5:$K$16,$G137&amp;" "&amp;$E137))&gt;0,0),0)),"Ерөнхий нийт"))</f>
        <v>Эмэгтэйчүүд</v>
      </c>
      <c r="P137" s="2"/>
      <c r="Q137" s="2" t="str">
        <f aca="false">IF($G137="","",IF($P137&lt;&gt;"",$P137,$O137))</f>
        <v>Эмэгтэйчүүд</v>
      </c>
    </row>
    <row r="138" customFormat="false" ht="115.5" hidden="false" customHeight="true" outlineLevel="0" collapsed="false">
      <c r="A138" s="9" t="n">
        <v>115</v>
      </c>
      <c r="B138" s="10" t="s">
        <v>715</v>
      </c>
      <c r="C138" s="10" t="s">
        <v>758</v>
      </c>
      <c r="D138" s="10" t="s">
        <v>1695</v>
      </c>
      <c r="E138" s="10" t="s">
        <v>1696</v>
      </c>
      <c r="F138" s="10" t="s">
        <v>1697</v>
      </c>
      <c r="G138" s="10" t="s">
        <v>1698</v>
      </c>
      <c r="H138" s="10" t="s">
        <v>1699</v>
      </c>
      <c r="I138" s="10" t="s">
        <v>1660</v>
      </c>
      <c r="J138" s="12" t="s">
        <v>1700</v>
      </c>
      <c r="K138" s="2"/>
      <c r="L138" s="2" t="str">
        <f aca="false" t="array" ref="L138:L138">IF($G138="","",IFERROR(INDEX(Ангилал!$A$5:$A$22,MATCH(TRUE(),INDEX(ISNUMBER(SEARCH(Ангилал!$B$5:$B$22,$G138&amp;" "&amp;$E138))+ISNUMBER(SEARCH(Ангилал!$C$5:$C$22,$G138&amp;" "&amp;$E138))+IF(Ангилал!$D$5:$D$22="",0,ISNUMBER(SEARCH(Ангилал!$D$5:$D$22,$G138&amp;" "&amp;$E138)))+IF(Ангилал!$E$5:$E$22="",0,ISNUMBER(SEARCH(Ангилал!$E$5:$E$22,$G138&amp;" "&amp;$E138)))&gt;0,0),0)),"Бусад"))</f>
        <v>Чөлөөтэй зорчих, эвлэлдэн нэгдэх эрх</v>
      </c>
      <c r="M138" s="2"/>
      <c r="N138" s="2" t="str">
        <f aca="false">IF($G138="","",IF($M138&lt;&gt;"",$M138,$L138))</f>
        <v>Чөлөөтэй зорчих, эвлэлдэн нэгдэх эрх</v>
      </c>
      <c r="O138" s="2" t="str">
        <f aca="false" t="array" ref="O138:O138">IF($G138="","",IFERROR(INDEX(Ангилал!$G$5:$G$16,MATCH(TRUE(),INDEX(ISNUMBER(SEARCH(Ангилал!$H$5:$H$16,$G138&amp;" "&amp;$E138))+ISNUMBER(SEARCH(Ангилал!$I$5:$I$16,$G138&amp;" "&amp;$E138))+ISNUMBER(SEARCH(Ангилал!$J$5:$J$16,$G138&amp;" "&amp;$E138))+ISNUMBER(SEARCH(Ангилал!$K$5:$K$16,$G138&amp;" "&amp;$E138))&gt;0,0),0)),"Ерөнхий нийт"))</f>
        <v>Сэтгүүлч, хүний эрхийн хамгаалагч</v>
      </c>
      <c r="P138" s="2"/>
      <c r="Q138" s="2" t="str">
        <f aca="false">IF($G138="","",IF($P138&lt;&gt;"",$P138,$O138))</f>
        <v>Сэтгүүлч, хүний эрхийн хамгаалагч</v>
      </c>
    </row>
    <row r="139" customFormat="false" ht="86.25" hidden="false" customHeight="true" outlineLevel="0" collapsed="false">
      <c r="A139" s="9" t="n">
        <v>116</v>
      </c>
      <c r="B139" s="10" t="s">
        <v>715</v>
      </c>
      <c r="C139" s="10" t="s">
        <v>1701</v>
      </c>
      <c r="D139" s="10" t="s">
        <v>1702</v>
      </c>
      <c r="E139" s="10" t="s">
        <v>1703</v>
      </c>
      <c r="F139" s="10" t="s">
        <v>1093</v>
      </c>
      <c r="G139" s="10" t="s">
        <v>1704</v>
      </c>
      <c r="H139" s="10" t="s">
        <v>1705</v>
      </c>
      <c r="I139" s="10" t="s">
        <v>1660</v>
      </c>
      <c r="J139" s="12" t="s">
        <v>1706</v>
      </c>
      <c r="K139" s="2"/>
      <c r="L139" s="2" t="str">
        <f aca="false" t="array" ref="L139:L139">IF($G139="","",IFERROR(INDEX(Ангилал!$A$5:$A$22,MATCH(TRUE(),INDEX(ISNUMBER(SEARCH(Ангилал!$B$5:$B$22,$G139&amp;" "&amp;$E139))+ISNUMBER(SEARCH(Ангилал!$C$5:$C$22,$G139&amp;" "&amp;$E139))+IF(Ангилал!$D$5:$D$22="",0,ISNUMBER(SEARCH(Ангилал!$D$5:$D$22,$G139&amp;" "&amp;$E139)))+IF(Ангилал!$E$5:$E$22="",0,ISNUMBER(SEARCH(Ангилал!$E$5:$E$22,$G139&amp;" "&amp;$E139)))&gt;0,0),0)),"Бусад"))</f>
        <v>Үзэл бодлоо илэрхийлэх, мэдээллийн эрх</v>
      </c>
      <c r="M139" s="2"/>
      <c r="N139" s="2" t="str">
        <f aca="false">IF($G139="","",IF($M139&lt;&gt;"",$M139,$L139))</f>
        <v>Үзэл бодлоо илэрхийлэх, мэдээллийн эрх</v>
      </c>
      <c r="O139" s="2" t="str">
        <f aca="false" t="array" ref="O139:O139">IF($G139="","",IFERROR(INDEX(Ангилал!$G$5:$G$16,MATCH(TRUE(),INDEX(ISNUMBER(SEARCH(Ангилал!$H$5:$H$16,$G139&amp;" "&amp;$E139))+ISNUMBER(SEARCH(Ангилал!$I$5:$I$16,$G139&amp;" "&amp;$E139))+ISNUMBER(SEARCH(Ангилал!$J$5:$J$16,$G139&amp;" "&amp;$E139))+ISNUMBER(SEARCH(Ангилал!$K$5:$K$16,$G139&amp;" "&amp;$E139))&gt;0,0),0)),"Ерөнхий нийт"))</f>
        <v>Ерөнхий нийт</v>
      </c>
      <c r="P139" s="2"/>
      <c r="Q139" s="2" t="str">
        <f aca="false">IF($G139="","",IF($P139&lt;&gt;"",$P139,$O139))</f>
        <v>Ерөнхий нийт</v>
      </c>
    </row>
    <row r="140" customFormat="false" ht="101.25" hidden="false" customHeight="true" outlineLevel="0" collapsed="false">
      <c r="A140" s="9" t="n">
        <v>117</v>
      </c>
      <c r="B140" s="10" t="s">
        <v>697</v>
      </c>
      <c r="C140" s="10" t="s">
        <v>1606</v>
      </c>
      <c r="D140" s="10" t="s">
        <v>1707</v>
      </c>
      <c r="E140" s="10" t="s">
        <v>1708</v>
      </c>
      <c r="F140" s="10" t="s">
        <v>1709</v>
      </c>
      <c r="G140" s="10" t="s">
        <v>1710</v>
      </c>
      <c r="H140" s="10" t="s">
        <v>1711</v>
      </c>
      <c r="I140" s="10" t="s">
        <v>1660</v>
      </c>
      <c r="J140" s="12" t="s">
        <v>1712</v>
      </c>
      <c r="K140" s="2"/>
      <c r="L140" s="2" t="str">
        <f aca="false" t="array" ref="L140:L140">IF($G140="","",IFERROR(INDEX(Ангилал!$A$5:$A$22,MATCH(TRUE(),INDEX(ISNUMBER(SEARCH(Ангилал!$B$5:$B$22,$G140&amp;" "&amp;$E140))+ISNUMBER(SEARCH(Ангилал!$C$5:$C$22,$G140&amp;" "&amp;$E140))+IF(Ангилал!$D$5:$D$22="",0,ISNUMBER(SEARCH(Ангилал!$D$5:$D$22,$G140&amp;" "&amp;$E140)))+IF(Ангилал!$E$5:$E$22="",0,ISNUMBER(SEARCH(Ангилал!$E$5:$E$22,$G140&amp;" "&amp;$E140)))&gt;0,0),0)),"Бусад"))</f>
        <v>Амьд явах, халдашгүй байх эрх</v>
      </c>
      <c r="M140" s="2"/>
      <c r="N140" s="2" t="str">
        <f aca="false">IF($G140="","",IF($M140&lt;&gt;"",$M140,$L140))</f>
        <v>Амьд явах, халдашгүй байх эрх</v>
      </c>
      <c r="O140" s="2" t="str">
        <f aca="false" t="array" ref="O140:O140">IF($G140="","",IFERROR(INDEX(Ангилал!$G$5:$G$16,MATCH(TRUE(),INDEX(ISNUMBER(SEARCH(Ангилал!$H$5:$H$16,$G140&amp;" "&amp;$E140))+ISNUMBER(SEARCH(Ангилал!$I$5:$I$16,$G140&amp;" "&amp;$E140))+ISNUMBER(SEARCH(Ангилал!$J$5:$J$16,$G140&amp;" "&amp;$E140))+ISNUMBER(SEARCH(Ангилал!$K$5:$K$16,$G140&amp;" "&amp;$E140))&gt;0,0),0)),"Ерөнхий нийт"))</f>
        <v>Ерөнхий нийт</v>
      </c>
      <c r="P140" s="2"/>
      <c r="Q140" s="2" t="str">
        <f aca="false">IF($G140="","",IF($P140&lt;&gt;"",$P140,$O140))</f>
        <v>Ерөнхий нийт</v>
      </c>
    </row>
    <row r="141" customFormat="false" ht="24" hidden="false" customHeight="true" outlineLevel="0" collapsed="false">
      <c r="A141" s="13" t="s">
        <v>794</v>
      </c>
      <c r="B141" s="13"/>
      <c r="C141" s="13"/>
      <c r="D141" s="13"/>
      <c r="E141" s="13"/>
      <c r="F141" s="13"/>
      <c r="G141" s="13"/>
      <c r="H141" s="13"/>
      <c r="I141" s="13"/>
      <c r="J141" s="13"/>
      <c r="K141" s="2"/>
      <c r="L141" s="2"/>
      <c r="M141" s="2"/>
      <c r="N141" s="2"/>
      <c r="O141" s="2"/>
      <c r="P141" s="2"/>
      <c r="Q141" s="2"/>
    </row>
    <row r="142" customFormat="false" ht="144.75" hidden="false" customHeight="true" outlineLevel="0" collapsed="false">
      <c r="A142" s="9" t="n">
        <v>118</v>
      </c>
      <c r="B142" s="10" t="s">
        <v>1713</v>
      </c>
      <c r="C142" s="10" t="s">
        <v>862</v>
      </c>
      <c r="D142" s="10" t="s">
        <v>1714</v>
      </c>
      <c r="E142" s="10" t="s">
        <v>1715</v>
      </c>
      <c r="F142" s="10" t="s">
        <v>1716</v>
      </c>
      <c r="G142" s="10" t="s">
        <v>1717</v>
      </c>
      <c r="H142" s="10" t="s">
        <v>1718</v>
      </c>
      <c r="I142" s="10" t="s">
        <v>1660</v>
      </c>
      <c r="J142" s="12" t="s">
        <v>1719</v>
      </c>
      <c r="K142" s="2"/>
      <c r="L142" s="2" t="str">
        <f aca="false" t="array" ref="L142:L142">IF($G142="","",IFERROR(INDEX(Ангилал!$A$5:$A$22,MATCH(TRUE(),INDEX(ISNUMBER(SEARCH(Ангилал!$B$5:$B$22,$G142&amp;" "&amp;$E142))+ISNUMBER(SEARCH(Ангилал!$C$5:$C$22,$G142&amp;" "&amp;$E142))+IF(Ангилал!$D$5:$D$22="",0,ISNUMBER(SEARCH(Ангилал!$D$5:$D$22,$G142&amp;" "&amp;$E142)))+IF(Ангилал!$E$5:$E$22="",0,ISNUMBER(SEARCH(Ангилал!$E$5:$E$22,$G142&amp;" "&amp;$E142)))&gt;0,0),0)),"Бусад"))</f>
        <v>Эрүүл мэндийн эрх</v>
      </c>
      <c r="M142" s="2" t="s">
        <v>1720</v>
      </c>
      <c r="N142" s="2" t="str">
        <f aca="false">IF($G142="","",IF($M142&lt;&gt;"",$M142,$L142))</f>
        <v>Хүнс, ус, орон сууцны эрх</v>
      </c>
      <c r="O142" s="2" t="str">
        <f aca="false" t="array" ref="O142:O142">IF($G142="","",IFERROR(INDEX(Ангилал!$G$5:$G$16,MATCH(TRUE(),INDEX(ISNUMBER(SEARCH(Ангилал!$H$5:$H$16,$G142&amp;" "&amp;$E142))+ISNUMBER(SEARCH(Ангилал!$I$5:$I$16,$G142&amp;" "&amp;$E142))+ISNUMBER(SEARCH(Ангилал!$J$5:$J$16,$G142&amp;" "&amp;$E142))+ISNUMBER(SEARCH(Ангилал!$K$5:$K$16,$G142&amp;" "&amp;$E142))&gt;0,0),0)),"Ерөнхий нийт"))</f>
        <v>Ерөнхий нийт</v>
      </c>
      <c r="P142" s="2" t="s">
        <v>1721</v>
      </c>
      <c r="Q142" s="2" t="str">
        <f aca="false">IF($G142="","",IF($P142&lt;&gt;"",$P142,$O142))</f>
        <v>Дүрвэгсэд, цагаачид</v>
      </c>
    </row>
    <row r="143" customFormat="false" ht="130.5" hidden="false" customHeight="true" outlineLevel="0" collapsed="false">
      <c r="A143" s="9" t="n">
        <v>119</v>
      </c>
      <c r="B143" s="10" t="s">
        <v>795</v>
      </c>
      <c r="C143" s="10" t="s">
        <v>1722</v>
      </c>
      <c r="D143" s="10" t="s">
        <v>1723</v>
      </c>
      <c r="E143" s="10" t="s">
        <v>1724</v>
      </c>
      <c r="F143" s="10" t="s">
        <v>1725</v>
      </c>
      <c r="G143" s="10" t="s">
        <v>1726</v>
      </c>
      <c r="H143" s="10" t="s">
        <v>1727</v>
      </c>
      <c r="I143" s="10" t="s">
        <v>1660</v>
      </c>
      <c r="J143" s="12" t="s">
        <v>1728</v>
      </c>
      <c r="K143" s="2"/>
      <c r="L143" s="2" t="str">
        <f aca="false" t="array" ref="L143:L143">IF($G143="","",IFERROR(INDEX(Ангилал!$A$5:$A$22,MATCH(TRUE(),INDEX(ISNUMBER(SEARCH(Ангилал!$B$5:$B$22,$G143&amp;" "&amp;$E143))+ISNUMBER(SEARCH(Ангилал!$C$5:$C$22,$G143&amp;" "&amp;$E143))+IF(Ангилал!$D$5:$D$22="",0,ISNUMBER(SEARCH(Ангилал!$D$5:$D$22,$G143&amp;" "&amp;$E143)))+IF(Ангилал!$E$5:$E$22="",0,ISNUMBER(SEARCH(Ангилал!$E$5:$E$22,$G143&amp;" "&amp;$E143)))&gt;0,0),0)),"Бусад"))</f>
        <v>Хүүхдийн эрх</v>
      </c>
      <c r="M143" s="2"/>
      <c r="N143" s="2" t="str">
        <f aca="false">IF($G143="","",IF($M143&lt;&gt;"",$M143,$L143))</f>
        <v>Хүүхдийн эрх</v>
      </c>
      <c r="O143" s="2" t="str">
        <f aca="false" t="array" ref="O143:O143">IF($G143="","",IFERROR(INDEX(Ангилал!$G$5:$G$16,MATCH(TRUE(),INDEX(ISNUMBER(SEARCH(Ангилал!$H$5:$H$16,$G143&amp;" "&amp;$E143))+ISNUMBER(SEARCH(Ангилал!$I$5:$I$16,$G143&amp;" "&amp;$E143))+ISNUMBER(SEARCH(Ангилал!$J$5:$J$16,$G143&amp;" "&amp;$E143))+ISNUMBER(SEARCH(Ангилал!$K$5:$K$16,$G143&amp;" "&amp;$E143))&gt;0,0),0)),"Ерөнхий нийт"))</f>
        <v>Хүүхэд</v>
      </c>
      <c r="P143" s="2"/>
      <c r="Q143" s="2" t="str">
        <f aca="false">IF($G143="","",IF($P143&lt;&gt;"",$P143,$O143))</f>
        <v>Хүүхэд</v>
      </c>
    </row>
    <row r="144" customFormat="false" ht="130.5" hidden="false" customHeight="true" outlineLevel="0" collapsed="false">
      <c r="A144" s="9" t="n">
        <v>120</v>
      </c>
      <c r="B144" s="10" t="s">
        <v>805</v>
      </c>
      <c r="C144" s="10" t="s">
        <v>1729</v>
      </c>
      <c r="D144" s="10" t="s">
        <v>1730</v>
      </c>
      <c r="E144" s="10" t="s">
        <v>1731</v>
      </c>
      <c r="F144" s="10" t="s">
        <v>1732</v>
      </c>
      <c r="G144" s="10" t="s">
        <v>1733</v>
      </c>
      <c r="H144" s="10" t="s">
        <v>1734</v>
      </c>
      <c r="I144" s="10" t="s">
        <v>1735</v>
      </c>
      <c r="J144" s="12" t="s">
        <v>1736</v>
      </c>
      <c r="K144" s="2"/>
      <c r="L144" s="2" t="str">
        <f aca="false" t="array" ref="L144:L144">IF($G144="","",IFERROR(INDEX(Ангилал!$A$5:$A$22,MATCH(TRUE(),INDEX(ISNUMBER(SEARCH(Ангилал!$B$5:$B$22,$G144&amp;" "&amp;$E144))+ISNUMBER(SEARCH(Ангилал!$C$5:$C$22,$G144&amp;" "&amp;$E144))+IF(Ангилал!$D$5:$D$22="",0,ISNUMBER(SEARCH(Ангилал!$D$5:$D$22,$G144&amp;" "&amp;$E144)))+IF(Ангилал!$E$5:$E$22="",0,ISNUMBER(SEARCH(Ангилал!$E$5:$E$22,$G144&amp;" "&amp;$E144)))&gt;0,0),0)),"Бусад"))</f>
        <v>Эрүүдэн шүүлт, хүнлэг бус харьцаа</v>
      </c>
      <c r="M144" s="2" t="s">
        <v>931</v>
      </c>
      <c r="N144" s="2" t="str">
        <f aca="false">IF($G144="","",IF($M144&lt;&gt;"",$M144,$L144))</f>
        <v>Амьд явах, халдашгүй байх эрх</v>
      </c>
      <c r="O144" s="2" t="str">
        <f aca="false" t="array" ref="O144:O144">IF($G144="","",IFERROR(INDEX(Ангилал!$G$5:$G$16,MATCH(TRUE(),INDEX(ISNUMBER(SEARCH(Ангилал!$H$5:$H$16,$G144&amp;" "&amp;$E144))+ISNUMBER(SEARCH(Ангилал!$I$5:$I$16,$G144&amp;" "&amp;$E144))+ISNUMBER(SEARCH(Ангилал!$J$5:$J$16,$G144&amp;" "&amp;$E144))+ISNUMBER(SEARCH(Ангилал!$K$5:$K$16,$G144&amp;" "&amp;$E144))&gt;0,0),0)),"Ерөнхий нийт"))</f>
        <v>Ерөнхий нийт</v>
      </c>
      <c r="P144" s="2"/>
      <c r="Q144" s="2" t="str">
        <f aca="false">IF($G144="","",IF($P144&lt;&gt;"",$P144,$O144))</f>
        <v>Ерөнхий нийт</v>
      </c>
    </row>
    <row r="145" customFormat="false" ht="115.5" hidden="false" customHeight="true" outlineLevel="0" collapsed="false">
      <c r="A145" s="9" t="n">
        <v>121</v>
      </c>
      <c r="B145" s="10" t="s">
        <v>823</v>
      </c>
      <c r="C145" s="10" t="s">
        <v>1737</v>
      </c>
      <c r="D145" s="10" t="s">
        <v>1738</v>
      </c>
      <c r="E145" s="10" t="s">
        <v>1739</v>
      </c>
      <c r="F145" s="10" t="s">
        <v>1740</v>
      </c>
      <c r="G145" s="10" t="s">
        <v>1741</v>
      </c>
      <c r="H145" s="10" t="s">
        <v>1742</v>
      </c>
      <c r="I145" s="10" t="s">
        <v>1660</v>
      </c>
      <c r="J145" s="12" t="s">
        <v>1743</v>
      </c>
      <c r="K145" s="2"/>
      <c r="L145" s="2" t="str">
        <f aca="false" t="array" ref="L145:L145">IF($G145="","",IFERROR(INDEX(Ангилал!$A$5:$A$22,MATCH(TRUE(),INDEX(ISNUMBER(SEARCH(Ангилал!$B$5:$B$22,$G145&amp;" "&amp;$E145))+ISNUMBER(SEARCH(Ангилал!$C$5:$C$22,$G145&amp;" "&amp;$E145))+IF(Ангилал!$D$5:$D$22="",0,ISNUMBER(SEARCH(Ангилал!$D$5:$D$22,$G145&amp;" "&amp;$E145)))+IF(Ангилал!$E$5:$E$22="",0,ISNUMBER(SEARCH(Ангилал!$E$5:$E$22,$G145&amp;" "&amp;$E145)))&gt;0,0),0)),"Бусад"))</f>
        <v>Эрүүдэн шүүлт, хүнлэг бус харьцаа</v>
      </c>
      <c r="M145" s="2" t="s">
        <v>815</v>
      </c>
      <c r="N145" s="2" t="str">
        <f aca="false">IF($G145="","",IF($M145&lt;&gt;"",$M145,$L145))</f>
        <v>Үзэл бодлоо илэрхийлэх, мэдээллийн эрх</v>
      </c>
      <c r="O145" s="2" t="str">
        <f aca="false" t="array" ref="O145:O145">IF($G145="","",IFERROR(INDEX(Ангилал!$G$5:$G$16,MATCH(TRUE(),INDEX(ISNUMBER(SEARCH(Ангилал!$H$5:$H$16,$G145&amp;" "&amp;$E145))+ISNUMBER(SEARCH(Ангилал!$I$5:$I$16,$G145&amp;" "&amp;$E145))+ISNUMBER(SEARCH(Ангилал!$J$5:$J$16,$G145&amp;" "&amp;$E145))+ISNUMBER(SEARCH(Ангилал!$K$5:$K$16,$G145&amp;" "&amp;$E145))&gt;0,0),0)),"Ерөнхий нийт"))</f>
        <v>Хоригдол, саатуулагдсан хүн</v>
      </c>
      <c r="P145" s="2"/>
      <c r="Q145" s="2" t="str">
        <f aca="false">IF($G145="","",IF($P145&lt;&gt;"",$P145,$O145))</f>
        <v>Хоригдол, саатуулагдсан хүн</v>
      </c>
    </row>
    <row r="146" customFormat="false" ht="115.5" hidden="false" customHeight="true" outlineLevel="0" collapsed="false">
      <c r="A146" s="9" t="n">
        <v>122</v>
      </c>
      <c r="B146" s="10" t="s">
        <v>823</v>
      </c>
      <c r="C146" s="10" t="s">
        <v>795</v>
      </c>
      <c r="D146" s="10" t="s">
        <v>1744</v>
      </c>
      <c r="E146" s="10" t="s">
        <v>1745</v>
      </c>
      <c r="F146" s="10" t="s">
        <v>1746</v>
      </c>
      <c r="G146" s="10" t="s">
        <v>784</v>
      </c>
      <c r="H146" s="10" t="s">
        <v>1747</v>
      </c>
      <c r="I146" s="10" t="s">
        <v>1735</v>
      </c>
      <c r="J146" s="12" t="s">
        <v>1748</v>
      </c>
      <c r="K146" s="2"/>
      <c r="L146" s="2" t="str">
        <f aca="false" t="array" ref="L146:L146">IF($G146="","",IFERROR(INDEX(Ангилал!$A$5:$A$22,MATCH(TRUE(),INDEX(ISNUMBER(SEARCH(Ангилал!$B$5:$B$22,$G146&amp;" "&amp;$E146))+ISNUMBER(SEARCH(Ангилал!$C$5:$C$22,$G146&amp;" "&amp;$E146))+IF(Ангилал!$D$5:$D$22="",0,ISNUMBER(SEARCH(Ангилал!$D$5:$D$22,$G146&amp;" "&amp;$E146)))+IF(Ангилал!$E$5:$E$22="",0,ISNUMBER(SEARCH(Ангилал!$E$5:$E$22,$G146&amp;" "&amp;$E146)))&gt;0,0),0)),"Бусад"))</f>
        <v>Амьд явах, халдашгүй байх эрх</v>
      </c>
      <c r="M146" s="2"/>
      <c r="N146" s="2" t="str">
        <f aca="false">IF($G146="","",IF($M146&lt;&gt;"",$M146,$L146))</f>
        <v>Амьд явах, халдашгүй байх эрх</v>
      </c>
      <c r="O146" s="2" t="str">
        <f aca="false" t="array" ref="O146:O146">IF($G146="","",IFERROR(INDEX(Ангилал!$G$5:$G$16,MATCH(TRUE(),INDEX(ISNUMBER(SEARCH(Ангилал!$H$5:$H$16,$G146&amp;" "&amp;$E146))+ISNUMBER(SEARCH(Ангилал!$I$5:$I$16,$G146&amp;" "&amp;$E146))+ISNUMBER(SEARCH(Ангилал!$J$5:$J$16,$G146&amp;" "&amp;$E146))+ISNUMBER(SEARCH(Ангилал!$K$5:$K$16,$G146&amp;" "&amp;$E146))&gt;0,0),0)),"Ерөнхий нийт"))</f>
        <v>Ерөнхий нийт</v>
      </c>
      <c r="P146" s="2"/>
      <c r="Q146" s="2" t="str">
        <f aca="false">IF($G146="","",IF($P146&lt;&gt;"",$P146,$O146))</f>
        <v>Ерөнхий нийт</v>
      </c>
    </row>
    <row r="147" customFormat="false" ht="144.75" hidden="false" customHeight="true" outlineLevel="0" collapsed="false">
      <c r="A147" s="9" t="n">
        <v>123</v>
      </c>
      <c r="B147" s="10" t="s">
        <v>823</v>
      </c>
      <c r="C147" s="10" t="s">
        <v>1749</v>
      </c>
      <c r="D147" s="10" t="s">
        <v>1750</v>
      </c>
      <c r="E147" s="10" t="s">
        <v>1751</v>
      </c>
      <c r="F147" s="10" t="s">
        <v>1752</v>
      </c>
      <c r="G147" s="10" t="s">
        <v>1753</v>
      </c>
      <c r="H147" s="10" t="s">
        <v>1754</v>
      </c>
      <c r="I147" s="10" t="s">
        <v>1755</v>
      </c>
      <c r="J147" s="12" t="s">
        <v>1756</v>
      </c>
      <c r="K147" s="2"/>
      <c r="L147" s="2" t="str">
        <f aca="false" t="array" ref="L147:L147">IF($G147="","",IFERROR(INDEX(Ангилал!$A$5:$A$22,MATCH(TRUE(),INDEX(ISNUMBER(SEARCH(Ангилал!$B$5:$B$22,$G147&amp;" "&amp;$E147))+ISNUMBER(SEARCH(Ангилал!$C$5:$C$22,$G147&amp;" "&amp;$E147))+IF(Ангилал!$D$5:$D$22="",0,ISNUMBER(SEARCH(Ангилал!$D$5:$D$22,$G147&amp;" "&amp;$E147)))+IF(Ангилал!$E$5:$E$22="",0,ISNUMBER(SEARCH(Ангилал!$E$5:$E$22,$G147&amp;" "&amp;$E147)))&gt;0,0),0)),"Бусад"))</f>
        <v>Хүүхдийн эрх</v>
      </c>
      <c r="M147" s="2" t="s">
        <v>931</v>
      </c>
      <c r="N147" s="2" t="str">
        <f aca="false">IF($G147="","",IF($M147&lt;&gt;"",$M147,$L147))</f>
        <v>Амьд явах, халдашгүй байх эрх</v>
      </c>
      <c r="O147" s="2" t="str">
        <f aca="false" t="array" ref="O147:O147">IF($G147="","",IFERROR(INDEX(Ангилал!$G$5:$G$16,MATCH(TRUE(),INDEX(ISNUMBER(SEARCH(Ангилал!$H$5:$H$16,$G147&amp;" "&amp;$E147))+ISNUMBER(SEARCH(Ангилал!$I$5:$I$16,$G147&amp;" "&amp;$E147))+ISNUMBER(SEARCH(Ангилал!$J$5:$J$16,$G147&amp;" "&amp;$E147))+ISNUMBER(SEARCH(Ангилал!$K$5:$K$16,$G147&amp;" "&amp;$E147))&gt;0,0),0)),"Ерөнхий нийт"))</f>
        <v>Хүүхэд</v>
      </c>
      <c r="P147" s="2" t="s">
        <v>1024</v>
      </c>
      <c r="Q147" s="2" t="str">
        <f aca="false">IF($G147="","",IF($P147&lt;&gt;"",$P147,$O147))</f>
        <v>Сэтгүүлч, хүний эрхийн хамгаалагч</v>
      </c>
    </row>
    <row r="148" customFormat="false" ht="159" hidden="false" customHeight="true" outlineLevel="0" collapsed="false">
      <c r="A148" s="9" t="n">
        <v>124</v>
      </c>
      <c r="B148" s="10" t="s">
        <v>853</v>
      </c>
      <c r="C148" s="10" t="s">
        <v>1757</v>
      </c>
      <c r="D148" s="10" t="s">
        <v>1758</v>
      </c>
      <c r="E148" s="10" t="s">
        <v>1759</v>
      </c>
      <c r="F148" s="10" t="s">
        <v>1760</v>
      </c>
      <c r="G148" s="10" t="s">
        <v>1761</v>
      </c>
      <c r="H148" s="10" t="s">
        <v>1762</v>
      </c>
      <c r="I148" s="10" t="s">
        <v>1660</v>
      </c>
      <c r="J148" s="12" t="s">
        <v>1763</v>
      </c>
      <c r="K148" s="2"/>
      <c r="L148" s="2" t="str">
        <f aca="false" t="array" ref="L148:L148">IF($G148="","",IFERROR(INDEX(Ангилал!$A$5:$A$22,MATCH(TRUE(),INDEX(ISNUMBER(SEARCH(Ангилал!$B$5:$B$22,$G148&amp;" "&amp;$E148))+ISNUMBER(SEARCH(Ангилал!$C$5:$C$22,$G148&amp;" "&amp;$E148))+IF(Ангилал!$D$5:$D$22="",0,ISNUMBER(SEARCH(Ангилал!$D$5:$D$22,$G148&amp;" "&amp;$E148)))+IF(Ангилал!$E$5:$E$22="",0,ISNUMBER(SEARCH(Ангилал!$E$5:$E$22,$G148&amp;" "&amp;$E148)))&gt;0,0),0)),"Бусад"))</f>
        <v>Эрүүдэн шүүлт, хүнлэг бус харьцаа</v>
      </c>
      <c r="M148" s="2"/>
      <c r="N148" s="2" t="str">
        <f aca="false">IF($G148="","",IF($M148&lt;&gt;"",$M148,$L148))</f>
        <v>Эрүүдэн шүүлт, хүнлэг бус харьцаа</v>
      </c>
      <c r="O148" s="2" t="str">
        <f aca="false" t="array" ref="O148:O148">IF($G148="","",IFERROR(INDEX(Ангилал!$G$5:$G$16,MATCH(TRUE(),INDEX(ISNUMBER(SEARCH(Ангилал!$H$5:$H$16,$G148&amp;" "&amp;$E148))+ISNUMBER(SEARCH(Ангилал!$I$5:$I$16,$G148&amp;" "&amp;$E148))+ISNUMBER(SEARCH(Ангилал!$J$5:$J$16,$G148&amp;" "&amp;$E148))+ISNUMBER(SEARCH(Ангилал!$K$5:$K$16,$G148&amp;" "&amp;$E148))&gt;0,0),0)),"Ерөнхий нийт"))</f>
        <v>Хоригдол, саатуулагдсан хүн</v>
      </c>
      <c r="P148" s="2"/>
      <c r="Q148" s="2" t="str">
        <f aca="false">IF($G148="","",IF($P148&lt;&gt;"",$P148,$O148))</f>
        <v>Хоригдол, саатуулагдсан хүн</v>
      </c>
    </row>
    <row r="149" customFormat="false" ht="130.5" hidden="false" customHeight="true" outlineLevel="0" collapsed="false">
      <c r="A149" s="9" t="n">
        <v>125</v>
      </c>
      <c r="B149" s="10" t="s">
        <v>853</v>
      </c>
      <c r="C149" s="10" t="s">
        <v>1722</v>
      </c>
      <c r="D149" s="10" t="s">
        <v>1764</v>
      </c>
      <c r="E149" s="10" t="s">
        <v>1765</v>
      </c>
      <c r="F149" s="10" t="s">
        <v>1766</v>
      </c>
      <c r="G149" s="10" t="s">
        <v>1767</v>
      </c>
      <c r="H149" s="10" t="s">
        <v>1768</v>
      </c>
      <c r="I149" s="10" t="s">
        <v>1660</v>
      </c>
      <c r="J149" s="12" t="s">
        <v>1769</v>
      </c>
      <c r="K149" s="2"/>
      <c r="L149" s="2" t="str">
        <f aca="false" t="array" ref="L149:L149">IF($G149="","",IFERROR(INDEX(Ангилал!$A$5:$A$22,MATCH(TRUE(),INDEX(ISNUMBER(SEARCH(Ангилал!$B$5:$B$22,$G149&amp;" "&amp;$E149))+ISNUMBER(SEARCH(Ангилал!$C$5:$C$22,$G149&amp;" "&amp;$E149))+IF(Ангилал!$D$5:$D$22="",0,ISNUMBER(SEARCH(Ангилал!$D$5:$D$22,$G149&amp;" "&amp;$E149)))+IF(Ангилал!$E$5:$E$22="",0,ISNUMBER(SEARCH(Ангилал!$E$5:$E$22,$G149&amp;" "&amp;$E149)))&gt;0,0),0)),"Бусад"))</f>
        <v>Эрүүл мэндийн эрх</v>
      </c>
      <c r="M149" s="2"/>
      <c r="N149" s="2" t="str">
        <f aca="false">IF($G149="","",IF($M149&lt;&gt;"",$M149,$L149))</f>
        <v>Эрүүл мэндийн эрх</v>
      </c>
      <c r="O149" s="2" t="str">
        <f aca="false" t="array" ref="O149:O149">IF($G149="","",IFERROR(INDEX(Ангилал!$G$5:$G$16,MATCH(TRUE(),INDEX(ISNUMBER(SEARCH(Ангилал!$H$5:$H$16,$G149&amp;" "&amp;$E149))+ISNUMBER(SEARCH(Ангилал!$I$5:$I$16,$G149&amp;" "&amp;$E149))+ISNUMBER(SEARCH(Ангилал!$J$5:$J$16,$G149&amp;" "&amp;$E149))+ISNUMBER(SEARCH(Ангилал!$K$5:$K$16,$G149&amp;" "&amp;$E149))&gt;0,0),0)),"Ерөнхий нийт"))</f>
        <v>Ахмад настан</v>
      </c>
      <c r="P149" s="2" t="s">
        <v>886</v>
      </c>
      <c r="Q149" s="2" t="str">
        <f aca="false">IF($G149="","",IF($P149&lt;&gt;"",$P149,$O149))</f>
        <v>Ерөнхий нийт</v>
      </c>
    </row>
    <row r="150" customFormat="false" ht="115.5" hidden="false" customHeight="true" outlineLevel="0" collapsed="false">
      <c r="A150" s="9" t="n">
        <v>126</v>
      </c>
      <c r="B150" s="10" t="s">
        <v>853</v>
      </c>
      <c r="C150" s="10" t="s">
        <v>1770</v>
      </c>
      <c r="D150" s="10" t="s">
        <v>1771</v>
      </c>
      <c r="E150" s="10" t="s">
        <v>1772</v>
      </c>
      <c r="F150" s="10" t="s">
        <v>1773</v>
      </c>
      <c r="G150" s="10" t="s">
        <v>1774</v>
      </c>
      <c r="H150" s="10" t="s">
        <v>1775</v>
      </c>
      <c r="I150" s="10" t="s">
        <v>1660</v>
      </c>
      <c r="J150" s="12" t="s">
        <v>1776</v>
      </c>
      <c r="K150" s="2"/>
      <c r="L150" s="2" t="str">
        <f aca="false" t="array" ref="L150:L150">IF($G150="","",IFERROR(INDEX(Ангилал!$A$5:$A$22,MATCH(TRUE(),INDEX(ISNUMBER(SEARCH(Ангилал!$B$5:$B$22,$G150&amp;" "&amp;$E150))+ISNUMBER(SEARCH(Ангилал!$C$5:$C$22,$G150&amp;" "&amp;$E150))+IF(Ангилал!$D$5:$D$22="",0,ISNUMBER(SEARCH(Ангилал!$D$5:$D$22,$G150&amp;" "&amp;$E150)))+IF(Ангилал!$E$5:$E$22="",0,ISNUMBER(SEARCH(Ангилал!$E$5:$E$22,$G150&amp;" "&amp;$E150)))&gt;0,0),0)),"Бусад"))</f>
        <v>Амьд явах, халдашгүй байх эрх</v>
      </c>
      <c r="M150" s="2"/>
      <c r="N150" s="2" t="str">
        <f aca="false">IF($G150="","",IF($M150&lt;&gt;"",$M150,$L150))</f>
        <v>Амьд явах, халдашгүй байх эрх</v>
      </c>
      <c r="O150" s="2" t="str">
        <f aca="false" t="array" ref="O150:O150">IF($G150="","",IFERROR(INDEX(Ангилал!$G$5:$G$16,MATCH(TRUE(),INDEX(ISNUMBER(SEARCH(Ангилал!$H$5:$H$16,$G150&amp;" "&amp;$E150))+ISNUMBER(SEARCH(Ангилал!$I$5:$I$16,$G150&amp;" "&amp;$E150))+ISNUMBER(SEARCH(Ангилал!$J$5:$J$16,$G150&amp;" "&amp;$E150))+ISNUMBER(SEARCH(Ангилал!$K$5:$K$16,$G150&amp;" "&amp;$E150))&gt;0,0),0)),"Ерөнхий нийт"))</f>
        <v>Ерөнхий нийт</v>
      </c>
      <c r="P150" s="2"/>
      <c r="Q150" s="2" t="str">
        <f aca="false">IF($G150="","",IF($P150&lt;&gt;"",$P150,$O150))</f>
        <v>Ерөнхий нийт</v>
      </c>
    </row>
    <row r="151" customFormat="false" ht="130.5" hidden="false" customHeight="true" outlineLevel="0" collapsed="false">
      <c r="A151" s="9" t="n">
        <v>127</v>
      </c>
      <c r="B151" s="10" t="s">
        <v>853</v>
      </c>
      <c r="C151" s="10" t="s">
        <v>853</v>
      </c>
      <c r="D151" s="10" t="s">
        <v>1777</v>
      </c>
      <c r="E151" s="10" t="s">
        <v>1778</v>
      </c>
      <c r="F151" s="10" t="s">
        <v>1779</v>
      </c>
      <c r="G151" s="10" t="s">
        <v>1780</v>
      </c>
      <c r="H151" s="10" t="s">
        <v>1781</v>
      </c>
      <c r="I151" s="10" t="s">
        <v>1735</v>
      </c>
      <c r="J151" s="12" t="s">
        <v>1782</v>
      </c>
      <c r="K151" s="2"/>
      <c r="L151" s="2" t="str">
        <f aca="false" t="array" ref="L151:L151">IF($G151="","",IFERROR(INDEX(Ангилал!$A$5:$A$22,MATCH(TRUE(),INDEX(ISNUMBER(SEARCH(Ангилал!$B$5:$B$22,$G151&amp;" "&amp;$E151))+ISNUMBER(SEARCH(Ангилал!$C$5:$C$22,$G151&amp;" "&amp;$E151))+IF(Ангилал!$D$5:$D$22="",0,ISNUMBER(SEARCH(Ангилал!$D$5:$D$22,$G151&amp;" "&amp;$E151)))+IF(Ангилал!$E$5:$E$22="",0,ISNUMBER(SEARCH(Ангилал!$E$5:$E$22,$G151&amp;" "&amp;$E151)))&gt;0,0),0)),"Бусад"))</f>
        <v>Эрүүдэн шүүлт, хүнлэг бус харьцаа</v>
      </c>
      <c r="M151" s="2" t="s">
        <v>931</v>
      </c>
      <c r="N151" s="2" t="str">
        <f aca="false">IF($G151="","",IF($M151&lt;&gt;"",$M151,$L151))</f>
        <v>Амьд явах, халдашгүй байх эрх</v>
      </c>
      <c r="O151" s="2" t="str">
        <f aca="false" t="array" ref="O151:O151">IF($G151="","",IFERROR(INDEX(Ангилал!$G$5:$G$16,MATCH(TRUE(),INDEX(ISNUMBER(SEARCH(Ангилал!$H$5:$H$16,$G151&amp;" "&amp;$E151))+ISNUMBER(SEARCH(Ангилал!$I$5:$I$16,$G151&amp;" "&amp;$E151))+ISNUMBER(SEARCH(Ангилал!$J$5:$J$16,$G151&amp;" "&amp;$E151))+ISNUMBER(SEARCH(Ангилал!$K$5:$K$16,$G151&amp;" "&amp;$E151))&gt;0,0),0)),"Ерөнхий нийт"))</f>
        <v>Ерөнхий нийт</v>
      </c>
      <c r="P151" s="2"/>
      <c r="Q151" s="2" t="str">
        <f aca="false">IF($G151="","",IF($P151&lt;&gt;"",$P151,$O151))</f>
        <v>Ерөнхий нийт</v>
      </c>
    </row>
    <row r="152" customFormat="false" ht="130.5" hidden="false" customHeight="true" outlineLevel="0" collapsed="false">
      <c r="A152" s="9" t="n">
        <v>128</v>
      </c>
      <c r="B152" s="10" t="s">
        <v>853</v>
      </c>
      <c r="C152" s="10" t="s">
        <v>1783</v>
      </c>
      <c r="D152" s="10" t="s">
        <v>1784</v>
      </c>
      <c r="E152" s="10" t="s">
        <v>1785</v>
      </c>
      <c r="F152" s="10" t="s">
        <v>1786</v>
      </c>
      <c r="G152" s="10" t="s">
        <v>1787</v>
      </c>
      <c r="H152" s="10" t="s">
        <v>1788</v>
      </c>
      <c r="I152" s="10" t="s">
        <v>1735</v>
      </c>
      <c r="J152" s="12" t="s">
        <v>1789</v>
      </c>
      <c r="K152" s="2"/>
      <c r="L152" s="2" t="str">
        <f aca="false" t="array" ref="L152:L152">IF($G152="","",IFERROR(INDEX(Ангилал!$A$5:$A$22,MATCH(TRUE(),INDEX(ISNUMBER(SEARCH(Ангилал!$B$5:$B$22,$G152&amp;" "&amp;$E152))+ISNUMBER(SEARCH(Ангилал!$C$5:$C$22,$G152&amp;" "&amp;$E152))+IF(Ангилал!$D$5:$D$22="",0,ISNUMBER(SEARCH(Ангилал!$D$5:$D$22,$G152&amp;" "&amp;$E152)))+IF(Ангилал!$E$5:$E$22="",0,ISNUMBER(SEARCH(Ангилал!$E$5:$E$22,$G152&amp;" "&amp;$E152)))&gt;0,0),0)),"Бусад"))</f>
        <v>Эрүүдэн шүүлт, хүнлэг бус харьцаа</v>
      </c>
      <c r="M152" s="2" t="s">
        <v>1790</v>
      </c>
      <c r="N152" s="2" t="str">
        <f aca="false">IF($G152="","",IF($M152&lt;&gt;"",$M152,$L152))</f>
        <v>Хувийн нууц, халдашгүй байдал</v>
      </c>
      <c r="O152" s="2" t="str">
        <f aca="false" t="array" ref="O152:O152">IF($G152="","",IFERROR(INDEX(Ангилал!$G$5:$G$16,MATCH(TRUE(),INDEX(ISNUMBER(SEARCH(Ангилал!$H$5:$H$16,$G152&amp;" "&amp;$E152))+ISNUMBER(SEARCH(Ангилал!$I$5:$I$16,$G152&amp;" "&amp;$E152))+ISNUMBER(SEARCH(Ангилал!$J$5:$J$16,$G152&amp;" "&amp;$E152))+ISNUMBER(SEARCH(Ангилал!$K$5:$K$16,$G152&amp;" "&amp;$E152))&gt;0,0),0)),"Ерөнхий нийт"))</f>
        <v>Хоригдол, саатуулагдсан хүн</v>
      </c>
      <c r="P152" s="2" t="s">
        <v>1024</v>
      </c>
      <c r="Q152" s="2" t="str">
        <f aca="false">IF($G152="","",IF($P152&lt;&gt;"",$P152,$O152))</f>
        <v>Сэтгүүлч, хүний эрхийн хамгаалагч</v>
      </c>
    </row>
    <row r="153" customFormat="false" ht="130.5" hidden="false" customHeight="true" outlineLevel="0" collapsed="false">
      <c r="A153" s="9" t="n">
        <v>129</v>
      </c>
      <c r="B153" s="10" t="s">
        <v>853</v>
      </c>
      <c r="C153" s="10" t="s">
        <v>816</v>
      </c>
      <c r="D153" s="10" t="s">
        <v>1791</v>
      </c>
      <c r="E153" s="10" t="s">
        <v>1792</v>
      </c>
      <c r="F153" s="10" t="s">
        <v>1793</v>
      </c>
      <c r="G153" s="10" t="s">
        <v>1794</v>
      </c>
      <c r="H153" s="10" t="s">
        <v>1795</v>
      </c>
      <c r="I153" s="10" t="s">
        <v>1755</v>
      </c>
      <c r="J153" s="12" t="s">
        <v>1796</v>
      </c>
      <c r="K153" s="2"/>
      <c r="L153" s="2" t="str">
        <f aca="false" t="array" ref="L153:L153">IF($G153="","",IFERROR(INDEX(Ангилал!$A$5:$A$22,MATCH(TRUE(),INDEX(ISNUMBER(SEARCH(Ангилал!$B$5:$B$22,$G153&amp;" "&amp;$E153))+ISNUMBER(SEARCH(Ангилал!$C$5:$C$22,$G153&amp;" "&amp;$E153))+IF(Ангилал!$D$5:$D$22="",0,ISNUMBER(SEARCH(Ангилал!$D$5:$D$22,$G153&amp;" "&amp;$E153)))+IF(Ангилал!$E$5:$E$22="",0,ISNUMBER(SEARCH(Ангилал!$E$5:$E$22,$G153&amp;" "&amp;$E153)))&gt;0,0),0)),"Бусад"))</f>
        <v>Эрүүдэн шүүлт, хүнлэг бус харьцаа</v>
      </c>
      <c r="M153" s="2"/>
      <c r="N153" s="2" t="str">
        <f aca="false">IF($G153="","",IF($M153&lt;&gt;"",$M153,$L153))</f>
        <v>Эрүүдэн шүүлт, хүнлэг бус харьцаа</v>
      </c>
      <c r="O153" s="2" t="str">
        <f aca="false" t="array" ref="O153:O153">IF($G153="","",IFERROR(INDEX(Ангилал!$G$5:$G$16,MATCH(TRUE(),INDEX(ISNUMBER(SEARCH(Ангилал!$H$5:$H$16,$G153&amp;" "&amp;$E153))+ISNUMBER(SEARCH(Ангилал!$I$5:$I$16,$G153&amp;" "&amp;$E153))+ISNUMBER(SEARCH(Ангилал!$J$5:$J$16,$G153&amp;" "&amp;$E153))+ISNUMBER(SEARCH(Ангилал!$K$5:$K$16,$G153&amp;" "&amp;$E153))&gt;0,0),0)),"Ерөнхий нийт"))</f>
        <v>Хоригдол, саатуулагдсан хүн</v>
      </c>
      <c r="P153" s="2"/>
      <c r="Q153" s="2" t="str">
        <f aca="false">IF($G153="","",IF($P153&lt;&gt;"",$P153,$O153))</f>
        <v>Хоригдол, саатуулагдсан хүн</v>
      </c>
    </row>
    <row r="154" customFormat="false" ht="130.5" hidden="false" customHeight="true" outlineLevel="0" collapsed="false">
      <c r="A154" s="9" t="n">
        <v>130</v>
      </c>
      <c r="B154" s="10" t="s">
        <v>853</v>
      </c>
      <c r="C154" s="10" t="s">
        <v>805</v>
      </c>
      <c r="D154" s="10" t="s">
        <v>1797</v>
      </c>
      <c r="E154" s="10" t="s">
        <v>1798</v>
      </c>
      <c r="F154" s="10" t="s">
        <v>1799</v>
      </c>
      <c r="G154" s="10" t="s">
        <v>1800</v>
      </c>
      <c r="H154" s="10" t="s">
        <v>1801</v>
      </c>
      <c r="I154" s="10" t="s">
        <v>1755</v>
      </c>
      <c r="J154" s="12" t="s">
        <v>1802</v>
      </c>
      <c r="K154" s="2"/>
      <c r="L154" s="2" t="str">
        <f aca="false" t="array" ref="L154:L154">IF($G154="","",IFERROR(INDEX(Ангилал!$A$5:$A$22,MATCH(TRUE(),INDEX(ISNUMBER(SEARCH(Ангилал!$B$5:$B$22,$G154&amp;" "&amp;$E154))+ISNUMBER(SEARCH(Ангилал!$C$5:$C$22,$G154&amp;" "&amp;$E154))+IF(Ангилал!$D$5:$D$22="",0,ISNUMBER(SEARCH(Ангилал!$D$5:$D$22,$G154&amp;" "&amp;$E154)))+IF(Ангилал!$E$5:$E$22="",0,ISNUMBER(SEARCH(Ангилал!$E$5:$E$22,$G154&amp;" "&amp;$E154)))&gt;0,0),0)),"Бусад"))</f>
        <v>Амьд явах, халдашгүй байх эрх</v>
      </c>
      <c r="M154" s="2" t="s">
        <v>974</v>
      </c>
      <c r="N154" s="2" t="str">
        <f aca="false">IF($G154="","",IF($M154&lt;&gt;"",$M154,$L154))</f>
        <v>Эрүүл мэндийн эрх</v>
      </c>
      <c r="O154" s="2" t="str">
        <f aca="false" t="array" ref="O154:O154">IF($G154="","",IFERROR(INDEX(Ангилал!$G$5:$G$16,MATCH(TRUE(),INDEX(ISNUMBER(SEARCH(Ангилал!$H$5:$H$16,$G154&amp;" "&amp;$E154))+ISNUMBER(SEARCH(Ангилал!$I$5:$I$16,$G154&amp;" "&amp;$E154))+ISNUMBER(SEARCH(Ангилал!$J$5:$J$16,$G154&amp;" "&amp;$E154))+ISNUMBER(SEARCH(Ангилал!$K$5:$K$16,$G154&amp;" "&amp;$E154))&gt;0,0),0)),"Ерөнхий нийт"))</f>
        <v>Дүрвэгсэд, цагаачид</v>
      </c>
      <c r="P154" s="2"/>
      <c r="Q154" s="2" t="str">
        <f aca="false">IF($G154="","",IF($P154&lt;&gt;"",$P154,$O154))</f>
        <v>Дүрвэгсэд, цагаачид</v>
      </c>
    </row>
    <row r="155" customFormat="false" ht="24" hidden="false" customHeight="true" outlineLevel="0" collapsed="false">
      <c r="A155" s="13" t="s">
        <v>907</v>
      </c>
      <c r="B155" s="13"/>
      <c r="C155" s="13"/>
      <c r="D155" s="13"/>
      <c r="E155" s="13"/>
      <c r="F155" s="13"/>
      <c r="G155" s="13"/>
      <c r="H155" s="13"/>
      <c r="I155" s="13"/>
      <c r="J155" s="13"/>
      <c r="K155" s="2"/>
      <c r="L155" s="2"/>
      <c r="M155" s="2"/>
      <c r="N155" s="2"/>
      <c r="O155" s="2"/>
      <c r="P155" s="2"/>
      <c r="Q155" s="2"/>
    </row>
    <row r="156" customFormat="false" ht="159" hidden="false" customHeight="true" outlineLevel="0" collapsed="false">
      <c r="A156" s="9" t="n">
        <v>131</v>
      </c>
      <c r="B156" s="10" t="s">
        <v>1803</v>
      </c>
      <c r="C156" s="10" t="s">
        <v>1804</v>
      </c>
      <c r="D156" s="10" t="s">
        <v>1805</v>
      </c>
      <c r="E156" s="10" t="s">
        <v>1806</v>
      </c>
      <c r="F156" s="10" t="s">
        <v>1807</v>
      </c>
      <c r="G156" s="10" t="s">
        <v>1808</v>
      </c>
      <c r="H156" s="10" t="s">
        <v>1809</v>
      </c>
      <c r="I156" s="10" t="s">
        <v>1660</v>
      </c>
      <c r="J156" s="12" t="s">
        <v>1810</v>
      </c>
      <c r="K156" s="2"/>
      <c r="L156" s="2" t="str">
        <f aca="false" t="array" ref="L156:L156">IF($G156="","",IFERROR(INDEX(Ангилал!$A$5:$A$22,MATCH(TRUE(),INDEX(ISNUMBER(SEARCH(Ангилал!$B$5:$B$22,$G156&amp;" "&amp;$E156))+ISNUMBER(SEARCH(Ангилал!$C$5:$C$22,$G156&amp;" "&amp;$E156))+IF(Ангилал!$D$5:$D$22="",0,ISNUMBER(SEARCH(Ангилал!$D$5:$D$22,$G156&amp;" "&amp;$E156)))+IF(Ангилал!$E$5:$E$22="",0,ISNUMBER(SEARCH(Ангилал!$E$5:$E$22,$G156&amp;" "&amp;$E156)))&gt;0,0),0)),"Бусад"))</f>
        <v>Шударга шүүхээр шүүлгэх эрх</v>
      </c>
      <c r="M156" s="2" t="s">
        <v>991</v>
      </c>
      <c r="N156" s="2" t="str">
        <f aca="false">IF($G156="","",IF($M156&lt;&gt;"",$M156,$L156))</f>
        <v>Шударга шүүхээр шүүлгэх эрх</v>
      </c>
      <c r="O156" s="2" t="str">
        <f aca="false" t="array" ref="O156:O156">IF($G156="","",IFERROR(INDEX(Ангилал!$G$5:$G$16,MATCH(TRUE(),INDEX(ISNUMBER(SEARCH(Ангилал!$H$5:$H$16,$G156&amp;" "&amp;$E156))+ISNUMBER(SEARCH(Ангилал!$I$5:$I$16,$G156&amp;" "&amp;$E156))+ISNUMBER(SEARCH(Ангилал!$J$5:$J$16,$G156&amp;" "&amp;$E156))+ISNUMBER(SEARCH(Ангилал!$K$5:$K$16,$G156&amp;" "&amp;$E156))&gt;0,0),0)),"Ерөнхий нийт"))</f>
        <v>Дүрвэгсэд, цагаачид</v>
      </c>
      <c r="P156" s="2" t="s">
        <v>1024</v>
      </c>
      <c r="Q156" s="2" t="str">
        <f aca="false">IF($G156="","",IF($P156&lt;&gt;"",$P156,$O156))</f>
        <v>Сэтгүүлч, хүний эрхийн хамгаалагч</v>
      </c>
    </row>
    <row r="157" customFormat="false" ht="130.5" hidden="false" customHeight="true" outlineLevel="0" collapsed="false">
      <c r="A157" s="9" t="n">
        <v>132</v>
      </c>
      <c r="B157" s="10" t="s">
        <v>1811</v>
      </c>
      <c r="C157" s="10" t="s">
        <v>1812</v>
      </c>
      <c r="D157" s="10" t="s">
        <v>1813</v>
      </c>
      <c r="E157" s="10" t="s">
        <v>1814</v>
      </c>
      <c r="F157" s="10" t="s">
        <v>1815</v>
      </c>
      <c r="G157" s="10" t="s">
        <v>1816</v>
      </c>
      <c r="H157" s="10" t="s">
        <v>1817</v>
      </c>
      <c r="I157" s="10" t="s">
        <v>1660</v>
      </c>
      <c r="J157" s="12" t="s">
        <v>1818</v>
      </c>
      <c r="K157" s="2"/>
      <c r="L157" s="2" t="str">
        <f aca="false" t="array" ref="L157:L157">IF($G157="","",IFERROR(INDEX(Ангилал!$A$5:$A$22,MATCH(TRUE(),INDEX(ISNUMBER(SEARCH(Ангилал!$B$5:$B$22,$G157&amp;" "&amp;$E157))+ISNUMBER(SEARCH(Ангилал!$C$5:$C$22,$G157&amp;" "&amp;$E157))+IF(Ангилал!$D$5:$D$22="",0,ISNUMBER(SEARCH(Ангилал!$D$5:$D$22,$G157&amp;" "&amp;$E157)))+IF(Ангилал!$E$5:$E$22="",0,ISNUMBER(SEARCH(Ангилал!$E$5:$E$22,$G157&amp;" "&amp;$E157)))&gt;0,0),0)),"Бусад"))</f>
        <v>Эрүүдэн шүүлт, хүнлэг бус харьцаа</v>
      </c>
      <c r="M157" s="2" t="s">
        <v>991</v>
      </c>
      <c r="N157" s="2" t="str">
        <f aca="false">IF($G157="","",IF($M157&lt;&gt;"",$M157,$L157))</f>
        <v>Шударга шүүхээр шүүлгэх эрх</v>
      </c>
      <c r="O157" s="2" t="str">
        <f aca="false" t="array" ref="O157:O157">IF($G157="","",IFERROR(INDEX(Ангилал!$G$5:$G$16,MATCH(TRUE(),INDEX(ISNUMBER(SEARCH(Ангилал!$H$5:$H$16,$G157&amp;" "&amp;$E157))+ISNUMBER(SEARCH(Ангилал!$I$5:$I$16,$G157&amp;" "&amp;$E157))+ISNUMBER(SEARCH(Ангилал!$J$5:$J$16,$G157&amp;" "&amp;$E157))+ISNUMBER(SEARCH(Ангилал!$K$5:$K$16,$G157&amp;" "&amp;$E157))&gt;0,0),0)),"Ерөнхий нийт"))</f>
        <v>Ерөнхий нийт</v>
      </c>
      <c r="P157" s="2"/>
      <c r="Q157" s="2" t="str">
        <f aca="false">IF($G157="","",IF($P157&lt;&gt;"",$P157,$O157))</f>
        <v>Ерөнхий нийт</v>
      </c>
    </row>
    <row r="158" customFormat="false" ht="130.5" hidden="false" customHeight="true" outlineLevel="0" collapsed="false">
      <c r="A158" s="9" t="n">
        <v>133</v>
      </c>
      <c r="B158" s="10" t="s">
        <v>908</v>
      </c>
      <c r="C158" s="10" t="s">
        <v>1819</v>
      </c>
      <c r="D158" s="10" t="s">
        <v>1820</v>
      </c>
      <c r="E158" s="10" t="s">
        <v>1821</v>
      </c>
      <c r="F158" s="10" t="s">
        <v>1822</v>
      </c>
      <c r="G158" s="10" t="s">
        <v>1823</v>
      </c>
      <c r="H158" s="10" t="s">
        <v>1824</v>
      </c>
      <c r="I158" s="10" t="s">
        <v>1660</v>
      </c>
      <c r="J158" s="12" t="s">
        <v>1825</v>
      </c>
      <c r="K158" s="2"/>
      <c r="L158" s="2" t="str">
        <f aca="false" t="array" ref="L158:L158">IF($G158="","",IFERROR(INDEX(Ангилал!$A$5:$A$22,MATCH(TRUE(),INDEX(ISNUMBER(SEARCH(Ангилал!$B$5:$B$22,$G158&amp;" "&amp;$E158))+ISNUMBER(SEARCH(Ангилал!$C$5:$C$22,$G158&amp;" "&amp;$E158))+IF(Ангилал!$D$5:$D$22="",0,ISNUMBER(SEARCH(Ангилал!$D$5:$D$22,$G158&amp;" "&amp;$E158)))+IF(Ангилал!$E$5:$E$22="",0,ISNUMBER(SEARCH(Ангилал!$E$5:$E$22,$G158&amp;" "&amp;$E158)))&gt;0,0),0)),"Бусад"))</f>
        <v>Эрүүдэн шүүлт, хүнлэг бус харьцаа</v>
      </c>
      <c r="M158" s="2"/>
      <c r="N158" s="2" t="str">
        <f aca="false">IF($G158="","",IF($M158&lt;&gt;"",$M158,$L158))</f>
        <v>Эрүүдэн шүүлт, хүнлэг бус харьцаа</v>
      </c>
      <c r="O158" s="2" t="str">
        <f aca="false" t="array" ref="O158:O158">IF($G158="","",IFERROR(INDEX(Ангилал!$G$5:$G$16,MATCH(TRUE(),INDEX(ISNUMBER(SEARCH(Ангилал!$H$5:$H$16,$G158&amp;" "&amp;$E158))+ISNUMBER(SEARCH(Ангилал!$I$5:$I$16,$G158&amp;" "&amp;$E158))+ISNUMBER(SEARCH(Ангилал!$J$5:$J$16,$G158&amp;" "&amp;$E158))+ISNUMBER(SEARCH(Ангилал!$K$5:$K$16,$G158&amp;" "&amp;$E158))&gt;0,0),0)),"Ерөнхий нийт"))</f>
        <v>Хүүхэд</v>
      </c>
      <c r="P158" s="2" t="s">
        <v>999</v>
      </c>
      <c r="Q158" s="2" t="str">
        <f aca="false">IF($G158="","",IF($P158&lt;&gt;"",$P158,$O158))</f>
        <v>Хоригдол, саатуулагдсан хүн</v>
      </c>
    </row>
    <row r="159" customFormat="false" ht="144.75" hidden="false" customHeight="true" outlineLevel="0" collapsed="false">
      <c r="A159" s="9" t="n">
        <v>134</v>
      </c>
      <c r="B159" s="10" t="s">
        <v>908</v>
      </c>
      <c r="C159" s="10" t="s">
        <v>1826</v>
      </c>
      <c r="D159" s="10" t="s">
        <v>1827</v>
      </c>
      <c r="E159" s="10" t="s">
        <v>1828</v>
      </c>
      <c r="F159" s="10" t="s">
        <v>1569</v>
      </c>
      <c r="G159" s="10" t="s">
        <v>1829</v>
      </c>
      <c r="H159" s="10" t="s">
        <v>1830</v>
      </c>
      <c r="I159" s="10" t="s">
        <v>1735</v>
      </c>
      <c r="J159" s="12" t="s">
        <v>1831</v>
      </c>
      <c r="K159" s="2"/>
      <c r="L159" s="2" t="str">
        <f aca="false" t="array" ref="L159:L159">IF($G159="","",IFERROR(INDEX(Ангилал!$A$5:$A$22,MATCH(TRUE(),INDEX(ISNUMBER(SEARCH(Ангилал!$B$5:$B$22,$G159&amp;" "&amp;$E159))+ISNUMBER(SEARCH(Ангилал!$C$5:$C$22,$G159&amp;" "&amp;$E159))+IF(Ангилал!$D$5:$D$22="",0,ISNUMBER(SEARCH(Ангилал!$D$5:$D$22,$G159&amp;" "&amp;$E159)))+IF(Ангилал!$E$5:$E$22="",0,ISNUMBER(SEARCH(Ангилал!$E$5:$E$22,$G159&amp;" "&amp;$E159)))&gt;0,0),0)),"Бусад"))</f>
        <v>Хүүхдийн эрх</v>
      </c>
      <c r="M159" s="2" t="s">
        <v>885</v>
      </c>
      <c r="N159" s="2" t="str">
        <f aca="false">IF($G159="","",IF($M159&lt;&gt;"",$M159,$L159))</f>
        <v>Чөлөөтэй зорчих, эвлэлдэн нэгдэх эрх</v>
      </c>
      <c r="O159" s="2" t="str">
        <f aca="false" t="array" ref="O159:O159">IF($G159="","",IFERROR(INDEX(Ангилал!$G$5:$G$16,MATCH(TRUE(),INDEX(ISNUMBER(SEARCH(Ангилал!$H$5:$H$16,$G159&amp;" "&amp;$E159))+ISNUMBER(SEARCH(Ангилал!$I$5:$I$16,$G159&amp;" "&amp;$E159))+ISNUMBER(SEARCH(Ангилал!$J$5:$J$16,$G159&amp;" "&amp;$E159))+ISNUMBER(SEARCH(Ангилал!$K$5:$K$16,$G159&amp;" "&amp;$E159))&gt;0,0),0)),"Ерөнхий нийт"))</f>
        <v>Хүүхэд</v>
      </c>
      <c r="P159" s="2" t="s">
        <v>958</v>
      </c>
      <c r="Q159" s="2" t="str">
        <f aca="false">IF($G159="","",IF($P159&lt;&gt;"",$P159,$O159))</f>
        <v>Хүүхэд</v>
      </c>
    </row>
    <row r="160" customFormat="false" ht="130.5" hidden="false" customHeight="true" outlineLevel="0" collapsed="false">
      <c r="A160" s="9" t="n">
        <v>135</v>
      </c>
      <c r="B160" s="10" t="s">
        <v>922</v>
      </c>
      <c r="C160" s="10" t="s">
        <v>1832</v>
      </c>
      <c r="D160" s="10" t="s">
        <v>1833</v>
      </c>
      <c r="E160" s="10" t="s">
        <v>1834</v>
      </c>
      <c r="F160" s="10" t="s">
        <v>1835</v>
      </c>
      <c r="G160" s="10" t="s">
        <v>1836</v>
      </c>
      <c r="H160" s="10" t="s">
        <v>1837</v>
      </c>
      <c r="I160" s="10" t="s">
        <v>1660</v>
      </c>
      <c r="J160" s="12" t="s">
        <v>1838</v>
      </c>
      <c r="K160" s="2"/>
      <c r="L160" s="2" t="str">
        <f aca="false" t="array" ref="L160:L160">IF($G160="","",IFERROR(INDEX(Ангилал!$A$5:$A$22,MATCH(TRUE(),INDEX(ISNUMBER(SEARCH(Ангилал!$B$5:$B$22,$G160&amp;" "&amp;$E160))+ISNUMBER(SEARCH(Ангилал!$C$5:$C$22,$G160&amp;" "&amp;$E160))+IF(Ангилал!$D$5:$D$22="",0,ISNUMBER(SEARCH(Ангилал!$D$5:$D$22,$G160&amp;" "&amp;$E160)))+IF(Ангилал!$E$5:$E$22="",0,ISNUMBER(SEARCH(Ангилал!$E$5:$E$22,$G160&amp;" "&amp;$E160)))&gt;0,0),0)),"Бусад"))</f>
        <v>Эрүүл мэндийн эрх</v>
      </c>
      <c r="M160" s="2" t="s">
        <v>1720</v>
      </c>
      <c r="N160" s="2" t="str">
        <f aca="false">IF($G160="","",IF($M160&lt;&gt;"",$M160,$L160))</f>
        <v>Хүнс, ус, орон сууцны эрх</v>
      </c>
      <c r="O160" s="2" t="str">
        <f aca="false" t="array" ref="O160:O160">IF($G160="","",IFERROR(INDEX(Ангилал!$G$5:$G$16,MATCH(TRUE(),INDEX(ISNUMBER(SEARCH(Ангилал!$H$5:$H$16,$G160&amp;" "&amp;$E160))+ISNUMBER(SEARCH(Ангилал!$I$5:$I$16,$G160&amp;" "&amp;$E160))+ISNUMBER(SEARCH(Ангилал!$J$5:$J$16,$G160&amp;" "&amp;$E160))+ISNUMBER(SEARCH(Ангилал!$K$5:$K$16,$G160&amp;" "&amp;$E160))&gt;0,0),0)),"Ерөнхий нийт"))</f>
        <v>Сэтгүүлч, хүний эрхийн хамгаалагч</v>
      </c>
      <c r="P160" s="2" t="s">
        <v>886</v>
      </c>
      <c r="Q160" s="2" t="str">
        <f aca="false">IF($G160="","",IF($P160&lt;&gt;"",$P160,$O160))</f>
        <v>Ерөнхий нийт</v>
      </c>
    </row>
    <row r="161" customFormat="false" ht="130.5" hidden="false" customHeight="true" outlineLevel="0" collapsed="false">
      <c r="A161" s="9" t="n">
        <v>136</v>
      </c>
      <c r="B161" s="10" t="s">
        <v>922</v>
      </c>
      <c r="C161" s="10" t="s">
        <v>1839</v>
      </c>
      <c r="D161" s="10" t="s">
        <v>1840</v>
      </c>
      <c r="E161" s="10" t="s">
        <v>1841</v>
      </c>
      <c r="F161" s="10" t="s">
        <v>1842</v>
      </c>
      <c r="G161" s="10" t="s">
        <v>1843</v>
      </c>
      <c r="H161" s="10" t="s">
        <v>1844</v>
      </c>
      <c r="I161" s="10" t="s">
        <v>1660</v>
      </c>
      <c r="J161" s="12" t="s">
        <v>1845</v>
      </c>
      <c r="K161" s="2"/>
      <c r="L161" s="2" t="str">
        <f aca="false" t="array" ref="L161:L161">IF($G161="","",IFERROR(INDEX(Ангилал!$A$5:$A$22,MATCH(TRUE(),INDEX(ISNUMBER(SEARCH(Ангилал!$B$5:$B$22,$G161&amp;" "&amp;$E161))+ISNUMBER(SEARCH(Ангилал!$C$5:$C$22,$G161&amp;" "&amp;$E161))+IF(Ангилал!$D$5:$D$22="",0,ISNUMBER(SEARCH(Ангилал!$D$5:$D$22,$G161&amp;" "&amp;$E161)))+IF(Ангилал!$E$5:$E$22="",0,ISNUMBER(SEARCH(Ангилал!$E$5:$E$22,$G161&amp;" "&amp;$E161)))&gt;0,0),0)),"Бусад"))</f>
        <v>Эрүүдэн шүүлт, хүнлэг бус харьцаа</v>
      </c>
      <c r="M161" s="2"/>
      <c r="N161" s="2" t="str">
        <f aca="false">IF($G161="","",IF($M161&lt;&gt;"",$M161,$L161))</f>
        <v>Эрүүдэн шүүлт, хүнлэг бус харьцаа</v>
      </c>
      <c r="O161" s="2" t="str">
        <f aca="false" t="array" ref="O161:O161">IF($G161="","",IFERROR(INDEX(Ангилал!$G$5:$G$16,MATCH(TRUE(),INDEX(ISNUMBER(SEARCH(Ангилал!$H$5:$H$16,$G161&amp;" "&amp;$E161))+ISNUMBER(SEARCH(Ангилал!$I$5:$I$16,$G161&amp;" "&amp;$E161))+ISNUMBER(SEARCH(Ангилал!$J$5:$J$16,$G161&amp;" "&amp;$E161))+ISNUMBER(SEARCH(Ангилал!$K$5:$K$16,$G161&amp;" "&amp;$E161))&gt;0,0),0)),"Ерөнхий нийт"))</f>
        <v>Хоригдол, саатуулагдсан хүн</v>
      </c>
      <c r="P161" s="2" t="s">
        <v>1024</v>
      </c>
      <c r="Q161" s="2" t="str">
        <f aca="false">IF($G161="","",IF($P161&lt;&gt;"",$P161,$O161))</f>
        <v>Сэтгүүлч, хүний эрхийн хамгаалагч</v>
      </c>
    </row>
    <row r="162" customFormat="false" ht="130.5" hidden="false" customHeight="true" outlineLevel="0" collapsed="false">
      <c r="A162" s="9" t="n">
        <v>137</v>
      </c>
      <c r="B162" s="10" t="s">
        <v>922</v>
      </c>
      <c r="C162" s="10" t="s">
        <v>1846</v>
      </c>
      <c r="D162" s="10" t="s">
        <v>1847</v>
      </c>
      <c r="E162" s="10" t="s">
        <v>1848</v>
      </c>
      <c r="F162" s="10" t="s">
        <v>1849</v>
      </c>
      <c r="G162" s="10" t="s">
        <v>1850</v>
      </c>
      <c r="H162" s="10" t="s">
        <v>1851</v>
      </c>
      <c r="I162" s="10" t="s">
        <v>1660</v>
      </c>
      <c r="J162" s="12" t="s">
        <v>1852</v>
      </c>
      <c r="K162" s="2"/>
      <c r="L162" s="2" t="str">
        <f aca="false" t="array" ref="L162:L162">IF($G162="","",IFERROR(INDEX(Ангилал!$A$5:$A$22,MATCH(TRUE(),INDEX(ISNUMBER(SEARCH(Ангилал!$B$5:$B$22,$G162&amp;" "&amp;$E162))+ISNUMBER(SEARCH(Ангилал!$C$5:$C$22,$G162&amp;" "&amp;$E162))+IF(Ангилал!$D$5:$D$22="",0,ISNUMBER(SEARCH(Ангилал!$D$5:$D$22,$G162&amp;" "&amp;$E162)))+IF(Ангилал!$E$5:$E$22="",0,ISNUMBER(SEARCH(Ангилал!$E$5:$E$22,$G162&amp;" "&amp;$E162)))&gt;0,0),0)),"Бусад"))</f>
        <v>Үзэл бодлоо илэрхийлэх, мэдээллийн эрх</v>
      </c>
      <c r="M162" s="2" t="s">
        <v>815</v>
      </c>
      <c r="N162" s="2" t="str">
        <f aca="false">IF($G162="","",IF($M162&lt;&gt;"",$M162,$L162))</f>
        <v>Үзэл бодлоо илэрхийлэх, мэдээллийн эрх</v>
      </c>
      <c r="O162" s="2" t="str">
        <f aca="false" t="array" ref="O162:O162">IF($G162="","",IFERROR(INDEX(Ангилал!$G$5:$G$16,MATCH(TRUE(),INDEX(ISNUMBER(SEARCH(Ангилал!$H$5:$H$16,$G162&amp;" "&amp;$E162))+ISNUMBER(SEARCH(Ангилал!$I$5:$I$16,$G162&amp;" "&amp;$E162))+ISNUMBER(SEARCH(Ангилал!$J$5:$J$16,$G162&amp;" "&amp;$E162))+ISNUMBER(SEARCH(Ангилал!$K$5:$K$16,$G162&amp;" "&amp;$E162))&gt;0,0),0)),"Ерөнхий нийт"))</f>
        <v>Дүрвэгсэд, цагаачид</v>
      </c>
      <c r="P162" s="2" t="s">
        <v>1721</v>
      </c>
      <c r="Q162" s="2" t="str">
        <f aca="false">IF($G162="","",IF($P162&lt;&gt;"",$P162,$O162))</f>
        <v>Дүрвэгсэд, цагаачид</v>
      </c>
    </row>
    <row r="163" customFormat="false" ht="115.5" hidden="false" customHeight="true" outlineLevel="0" collapsed="false">
      <c r="A163" s="9" t="n">
        <v>138</v>
      </c>
      <c r="B163" s="10" t="s">
        <v>922</v>
      </c>
      <c r="C163" s="10" t="s">
        <v>862</v>
      </c>
      <c r="D163" s="10" t="s">
        <v>1853</v>
      </c>
      <c r="E163" s="10" t="s">
        <v>1854</v>
      </c>
      <c r="F163" s="10" t="s">
        <v>1855</v>
      </c>
      <c r="G163" s="10" t="s">
        <v>1856</v>
      </c>
      <c r="H163" s="10" t="s">
        <v>1857</v>
      </c>
      <c r="I163" s="10" t="s">
        <v>1660</v>
      </c>
      <c r="J163" s="12" t="s">
        <v>1858</v>
      </c>
      <c r="K163" s="2"/>
      <c r="L163" s="2" t="str">
        <f aca="false" t="array" ref="L163:L163">IF($G163="","",IFERROR(INDEX(Ангилал!$A$5:$A$22,MATCH(TRUE(),INDEX(ISNUMBER(SEARCH(Ангилал!$B$5:$B$22,$G163&amp;" "&amp;$E163))+ISNUMBER(SEARCH(Ангилал!$C$5:$C$22,$G163&amp;" "&amp;$E163))+IF(Ангилал!$D$5:$D$22="",0,ISNUMBER(SEARCH(Ангилал!$D$5:$D$22,$G163&amp;" "&amp;$E163)))+IF(Ангилал!$E$5:$E$22="",0,ISNUMBER(SEARCH(Ангилал!$E$5:$E$22,$G163&amp;" "&amp;$E163)))&gt;0,0),0)),"Бусад"))</f>
        <v>Ялгаварлан гадуурхалтаас ангид байх, тэгш эрх</v>
      </c>
      <c r="M163" s="2"/>
      <c r="N163" s="2" t="str">
        <f aca="false">IF($G163="","",IF($M163&lt;&gt;"",$M163,$L163))</f>
        <v>Ялгаварлан гадуурхалтаас ангид байх, тэгш эрх</v>
      </c>
      <c r="O163" s="2" t="str">
        <f aca="false" t="array" ref="O163:O163">IF($G163="","",IFERROR(INDEX(Ангилал!$G$5:$G$16,MATCH(TRUE(),INDEX(ISNUMBER(SEARCH(Ангилал!$H$5:$H$16,$G163&amp;" "&amp;$E163))+ISNUMBER(SEARCH(Ангилал!$I$5:$I$16,$G163&amp;" "&amp;$E163))+ISNUMBER(SEARCH(Ангилал!$J$5:$J$16,$G163&amp;" "&amp;$E163))+ISNUMBER(SEARCH(Ангилал!$K$5:$K$16,$G163&amp;" "&amp;$E163))&gt;0,0),0)),"Ерөнхий нийт"))</f>
        <v>Ерөнхий нийт</v>
      </c>
      <c r="P163" s="2" t="s">
        <v>1859</v>
      </c>
      <c r="Q163" s="2" t="str">
        <f aca="false">IF($G163="","",IF($P163&lt;&gt;"",$P163,$O163))</f>
        <v>Цөөнх, үндэстэн ястан</v>
      </c>
    </row>
    <row r="164" customFormat="false" ht="144.75" hidden="false" customHeight="true" outlineLevel="0" collapsed="false">
      <c r="A164" s="9" t="n">
        <v>139</v>
      </c>
      <c r="B164" s="10" t="s">
        <v>941</v>
      </c>
      <c r="C164" s="10" t="s">
        <v>1860</v>
      </c>
      <c r="D164" s="10" t="s">
        <v>1861</v>
      </c>
      <c r="E164" s="10" t="s">
        <v>1862</v>
      </c>
      <c r="F164" s="10" t="s">
        <v>1863</v>
      </c>
      <c r="G164" s="10" t="s">
        <v>1864</v>
      </c>
      <c r="H164" s="10" t="s">
        <v>1865</v>
      </c>
      <c r="I164" s="10" t="s">
        <v>1735</v>
      </c>
      <c r="J164" s="12" t="s">
        <v>1866</v>
      </c>
      <c r="K164" s="2"/>
      <c r="L164" s="2" t="str">
        <f aca="false" t="array" ref="L164:L164">IF($G164="","",IFERROR(INDEX(Ангилал!$A$5:$A$22,MATCH(TRUE(),INDEX(ISNUMBER(SEARCH(Ангилал!$B$5:$B$22,$G164&amp;" "&amp;$E164))+ISNUMBER(SEARCH(Ангилал!$C$5:$C$22,$G164&amp;" "&amp;$E164))+IF(Ангилал!$D$5:$D$22="",0,ISNUMBER(SEARCH(Ангилал!$D$5:$D$22,$G164&amp;" "&amp;$E164)))+IF(Ангилал!$E$5:$E$22="",0,ISNUMBER(SEARCH(Ангилал!$E$5:$E$22,$G164&amp;" "&amp;$E164)))&gt;0,0),0)),"Бусад"))</f>
        <v>Амьд явах, халдашгүй байх эрх</v>
      </c>
      <c r="M164" s="2" t="s">
        <v>815</v>
      </c>
      <c r="N164" s="2" t="str">
        <f aca="false">IF($G164="","",IF($M164&lt;&gt;"",$M164,$L164))</f>
        <v>Үзэл бодлоо илэрхийлэх, мэдээллийн эрх</v>
      </c>
      <c r="O164" s="2" t="str">
        <f aca="false" t="array" ref="O164:O164">IF($G164="","",IFERROR(INDEX(Ангилал!$G$5:$G$16,MATCH(TRUE(),INDEX(ISNUMBER(SEARCH(Ангилал!$H$5:$H$16,$G164&amp;" "&amp;$E164))+ISNUMBER(SEARCH(Ангилал!$I$5:$I$16,$G164&amp;" "&amp;$E164))+ISNUMBER(SEARCH(Ангилал!$J$5:$J$16,$G164&amp;" "&amp;$E164))+ISNUMBER(SEARCH(Ангилал!$K$5:$K$16,$G164&amp;" "&amp;$E164))&gt;0,0),0)),"Ерөнхий нийт"))</f>
        <v>Дүрвэгсэд, цагаачид</v>
      </c>
      <c r="P164" s="2" t="s">
        <v>1721</v>
      </c>
      <c r="Q164" s="2" t="str">
        <f aca="false">IF($G164="","",IF($P164&lt;&gt;"",$P164,$O164))</f>
        <v>Дүрвэгсэд, цагаачид</v>
      </c>
    </row>
    <row r="165" customFormat="false" ht="144.75" hidden="false" customHeight="true" outlineLevel="0" collapsed="false">
      <c r="A165" s="9" t="n">
        <v>140</v>
      </c>
      <c r="B165" s="10" t="s">
        <v>959</v>
      </c>
      <c r="C165" s="10" t="s">
        <v>1867</v>
      </c>
      <c r="D165" s="10" t="s">
        <v>1868</v>
      </c>
      <c r="E165" s="10" t="s">
        <v>1869</v>
      </c>
      <c r="F165" s="10" t="s">
        <v>1870</v>
      </c>
      <c r="G165" s="10" t="s">
        <v>1871</v>
      </c>
      <c r="H165" s="10" t="s">
        <v>1872</v>
      </c>
      <c r="I165" s="10" t="s">
        <v>1660</v>
      </c>
      <c r="J165" s="12" t="s">
        <v>1873</v>
      </c>
      <c r="K165" s="2"/>
      <c r="L165" s="2" t="str">
        <f aca="false" t="array" ref="L165:L165">IF($G165="","",IFERROR(INDEX(Ангилал!$A$5:$A$22,MATCH(TRUE(),INDEX(ISNUMBER(SEARCH(Ангилал!$B$5:$B$22,$G165&amp;" "&amp;$E165))+ISNUMBER(SEARCH(Ангилал!$C$5:$C$22,$G165&amp;" "&amp;$E165))+IF(Ангилал!$D$5:$D$22="",0,ISNUMBER(SEARCH(Ангилал!$D$5:$D$22,$G165&amp;" "&amp;$E165)))+IF(Ангилал!$E$5:$E$22="",0,ISNUMBER(SEARCH(Ангилал!$E$5:$E$22,$G165&amp;" "&amp;$E165)))&gt;0,0),0)),"Бусад"))</f>
        <v>Эрүүдэн шүүлт, хүнлэг бус харьцаа</v>
      </c>
      <c r="M165" s="2" t="s">
        <v>1039</v>
      </c>
      <c r="N165" s="2" t="str">
        <f aca="false">IF($G165="","",IF($M165&lt;&gt;"",$M165,$L165))</f>
        <v>Ялгаварлан гадуурхалтаас ангид байх, тэгш эрх</v>
      </c>
      <c r="O165" s="2" t="str">
        <f aca="false" t="array" ref="O165:O165">IF($G165="","",IFERROR(INDEX(Ангилал!$G$5:$G$16,MATCH(TRUE(),INDEX(ISNUMBER(SEARCH(Ангилал!$H$5:$H$16,$G165&amp;" "&amp;$E165))+ISNUMBER(SEARCH(Ангилал!$I$5:$I$16,$G165&amp;" "&amp;$E165))+ISNUMBER(SEARCH(Ангилал!$J$5:$J$16,$G165&amp;" "&amp;$E165))+ISNUMBER(SEARCH(Ангилал!$K$5:$K$16,$G165&amp;" "&amp;$E165))&gt;0,0),0)),"Ерөнхий нийт"))</f>
        <v>Хоригдол, саатуулагдсан хүн</v>
      </c>
      <c r="P165" s="2" t="s">
        <v>1721</v>
      </c>
      <c r="Q165" s="2" t="str">
        <f aca="false">IF($G165="","",IF($P165&lt;&gt;"",$P165,$O165))</f>
        <v>Дүрвэгсэд, цагаачид</v>
      </c>
    </row>
    <row r="166" customFormat="false" ht="130.5" hidden="false" customHeight="true" outlineLevel="0" collapsed="false">
      <c r="A166" s="9" t="n">
        <v>141</v>
      </c>
      <c r="B166" s="10" t="s">
        <v>959</v>
      </c>
      <c r="C166" s="10" t="s">
        <v>1874</v>
      </c>
      <c r="D166" s="10" t="s">
        <v>1875</v>
      </c>
      <c r="E166" s="10" t="s">
        <v>1876</v>
      </c>
      <c r="F166" s="10" t="s">
        <v>1877</v>
      </c>
      <c r="G166" s="10" t="s">
        <v>1878</v>
      </c>
      <c r="H166" s="10" t="s">
        <v>1879</v>
      </c>
      <c r="I166" s="10" t="s">
        <v>1660</v>
      </c>
      <c r="J166" s="12" t="s">
        <v>1880</v>
      </c>
      <c r="K166" s="2"/>
      <c r="L166" s="2" t="str">
        <f aca="false" t="array" ref="L166:L166">IF($G166="","",IFERROR(INDEX(Ангилал!$A$5:$A$22,MATCH(TRUE(),INDEX(ISNUMBER(SEARCH(Ангилал!$B$5:$B$22,$G166&amp;" "&amp;$E166))+ISNUMBER(SEARCH(Ангилал!$C$5:$C$22,$G166&amp;" "&amp;$E166))+IF(Ангилал!$D$5:$D$22="",0,ISNUMBER(SEARCH(Ангилал!$D$5:$D$22,$G166&amp;" "&amp;$E166)))+IF(Ангилал!$E$5:$E$22="",0,ISNUMBER(SEARCH(Ангилал!$E$5:$E$22,$G166&amp;" "&amp;$E166)))&gt;0,0),0)),"Бусад"))</f>
        <v>Үзэл бодлоо илэрхийлэх, мэдээллийн эрх</v>
      </c>
      <c r="M166" s="2" t="s">
        <v>815</v>
      </c>
      <c r="N166" s="2" t="str">
        <f aca="false">IF($G166="","",IF($M166&lt;&gt;"",$M166,$L166))</f>
        <v>Үзэл бодлоо илэрхийлэх, мэдээллийн эрх</v>
      </c>
      <c r="O166" s="2" t="str">
        <f aca="false" t="array" ref="O166:O166">IF($G166="","",IFERROR(INDEX(Ангилал!$G$5:$G$16,MATCH(TRUE(),INDEX(ISNUMBER(SEARCH(Ангилал!$H$5:$H$16,$G166&amp;" "&amp;$E166))+ISNUMBER(SEARCH(Ангилал!$I$5:$I$16,$G166&amp;" "&amp;$E166))+ISNUMBER(SEARCH(Ангилал!$J$5:$J$16,$G166&amp;" "&amp;$E166))+ISNUMBER(SEARCH(Ангилал!$K$5:$K$16,$G166&amp;" "&amp;$E166))&gt;0,0),0)),"Ерөнхий нийт"))</f>
        <v>Сэтгүүлч, хүний эрхийн хамгаалагч</v>
      </c>
      <c r="P166" s="2" t="s">
        <v>1024</v>
      </c>
      <c r="Q166" s="2" t="str">
        <f aca="false">IF($G166="","",IF($P166&lt;&gt;"",$P166,$O166))</f>
        <v>Сэтгүүлч, хүний эрхийн хамгаалагч</v>
      </c>
    </row>
    <row r="167" customFormat="false" ht="115.5" hidden="false" customHeight="true" outlineLevel="0" collapsed="false">
      <c r="A167" s="9" t="n">
        <v>142</v>
      </c>
      <c r="B167" s="10" t="s">
        <v>959</v>
      </c>
      <c r="C167" s="10" t="s">
        <v>1832</v>
      </c>
      <c r="D167" s="10" t="s">
        <v>1881</v>
      </c>
      <c r="E167" s="10" t="s">
        <v>1882</v>
      </c>
      <c r="F167" s="10" t="s">
        <v>1883</v>
      </c>
      <c r="G167" s="10" t="s">
        <v>1884</v>
      </c>
      <c r="H167" s="10" t="s">
        <v>1885</v>
      </c>
      <c r="I167" s="10" t="s">
        <v>1660</v>
      </c>
      <c r="J167" s="12" t="s">
        <v>1886</v>
      </c>
      <c r="K167" s="2"/>
      <c r="L167" s="2" t="str">
        <f aca="false" t="array" ref="L167:L167">IF($G167="","",IFERROR(INDEX(Ангилал!$A$5:$A$22,MATCH(TRUE(),INDEX(ISNUMBER(SEARCH(Ангилал!$B$5:$B$22,$G167&amp;" "&amp;$E167))+ISNUMBER(SEARCH(Ангилал!$C$5:$C$22,$G167&amp;" "&amp;$E167))+IF(Ангилал!$D$5:$D$22="",0,ISNUMBER(SEARCH(Ангилал!$D$5:$D$22,$G167&amp;" "&amp;$E167)))+IF(Ангилал!$E$5:$E$22="",0,ISNUMBER(SEARCH(Ангилал!$E$5:$E$22,$G167&amp;" "&amp;$E167)))&gt;0,0),0)),"Бусад"))</f>
        <v>Эрүүдэн шүүлт, хүнлэг бус харьцаа</v>
      </c>
      <c r="M167" s="2" t="s">
        <v>991</v>
      </c>
      <c r="N167" s="2" t="str">
        <f aca="false">IF($G167="","",IF($M167&lt;&gt;"",$M167,$L167))</f>
        <v>Шударга шүүхээр шүүлгэх эрх</v>
      </c>
      <c r="O167" s="2" t="str">
        <f aca="false" t="array" ref="O167:O167">IF($G167="","",IFERROR(INDEX(Ангилал!$G$5:$G$16,MATCH(TRUE(),INDEX(ISNUMBER(SEARCH(Ангилал!$H$5:$H$16,$G167&amp;" "&amp;$E167))+ISNUMBER(SEARCH(Ангилал!$I$5:$I$16,$G167&amp;" "&amp;$E167))+ISNUMBER(SEARCH(Ангилал!$J$5:$J$16,$G167&amp;" "&amp;$E167))+ISNUMBER(SEARCH(Ангилал!$K$5:$K$16,$G167&amp;" "&amp;$E167))&gt;0,0),0)),"Ерөнхий нийт"))</f>
        <v>Хоригдол, саатуулагдсан хүн</v>
      </c>
      <c r="P167" s="2" t="s">
        <v>1024</v>
      </c>
      <c r="Q167" s="2" t="str">
        <f aca="false">IF($G167="","",IF($P167&lt;&gt;"",$P167,$O167))</f>
        <v>Сэтгүүлч, хүний эрхийн хамгаалагч</v>
      </c>
    </row>
    <row r="168" customFormat="false" ht="130.5" hidden="false" customHeight="true" outlineLevel="0" collapsed="false">
      <c r="A168" s="9" t="n">
        <v>143</v>
      </c>
      <c r="B168" s="10" t="s">
        <v>959</v>
      </c>
      <c r="C168" s="10" t="s">
        <v>853</v>
      </c>
      <c r="D168" s="10" t="s">
        <v>1887</v>
      </c>
      <c r="E168" s="10" t="s">
        <v>1888</v>
      </c>
      <c r="F168" s="10" t="s">
        <v>1494</v>
      </c>
      <c r="G168" s="10" t="s">
        <v>1889</v>
      </c>
      <c r="H168" s="10" t="s">
        <v>1890</v>
      </c>
      <c r="I168" s="10" t="s">
        <v>1660</v>
      </c>
      <c r="J168" s="12" t="s">
        <v>1891</v>
      </c>
      <c r="K168" s="2"/>
      <c r="L168" s="2" t="str">
        <f aca="false" t="array" ref="L168:L168">IF($G168="","",IFERROR(INDEX(Ангилал!$A$5:$A$22,MATCH(TRUE(),INDEX(ISNUMBER(SEARCH(Ангилал!$B$5:$B$22,$G168&amp;" "&amp;$E168))+ISNUMBER(SEARCH(Ангилал!$C$5:$C$22,$G168&amp;" "&amp;$E168))+IF(Ангилал!$D$5:$D$22="",0,ISNUMBER(SEARCH(Ангилал!$D$5:$D$22,$G168&amp;" "&amp;$E168)))+IF(Ангилал!$E$5:$E$22="",0,ISNUMBER(SEARCH(Ангилал!$E$5:$E$22,$G168&amp;" "&amp;$E168)))&gt;0,0),0)),"Бусад"))</f>
        <v>Хүүхдийн эрх</v>
      </c>
      <c r="M168" s="2" t="s">
        <v>1892</v>
      </c>
      <c r="N168" s="2" t="str">
        <f aca="false">IF($G168="","",IF($M168&lt;&gt;"",$M168,$L168))</f>
        <v>Боловсролын эрх</v>
      </c>
      <c r="O168" s="2" t="str">
        <f aca="false" t="array" ref="O168:O168">IF($G168="","",IFERROR(INDEX(Ангилал!$G$5:$G$16,MATCH(TRUE(),INDEX(ISNUMBER(SEARCH(Ангилал!$H$5:$H$16,$G168&amp;" "&amp;$E168))+ISNUMBER(SEARCH(Ангилал!$I$5:$I$16,$G168&amp;" "&amp;$E168))+ISNUMBER(SEARCH(Ангилал!$J$5:$J$16,$G168&amp;" "&amp;$E168))+ISNUMBER(SEARCH(Ангилал!$K$5:$K$16,$G168&amp;" "&amp;$E168))&gt;0,0),0)),"Ерөнхий нийт"))</f>
        <v>Хүүхэд</v>
      </c>
      <c r="P168" s="2" t="s">
        <v>958</v>
      </c>
      <c r="Q168" s="2" t="str">
        <f aca="false">IF($G168="","",IF($P168&lt;&gt;"",$P168,$O168))</f>
        <v>Хүүхэд</v>
      </c>
    </row>
    <row r="169" customFormat="false" ht="115.5" hidden="false" customHeight="true" outlineLevel="0" collapsed="false">
      <c r="A169" s="9" t="n">
        <v>144</v>
      </c>
      <c r="B169" s="10" t="s">
        <v>959</v>
      </c>
      <c r="C169" s="10" t="s">
        <v>922</v>
      </c>
      <c r="D169" s="10" t="s">
        <v>1893</v>
      </c>
      <c r="E169" s="10" t="s">
        <v>1894</v>
      </c>
      <c r="F169" s="10" t="s">
        <v>1895</v>
      </c>
      <c r="G169" s="10" t="s">
        <v>1896</v>
      </c>
      <c r="H169" s="10" t="s">
        <v>1897</v>
      </c>
      <c r="I169" s="10" t="s">
        <v>1660</v>
      </c>
      <c r="J169" s="12" t="s">
        <v>1898</v>
      </c>
      <c r="K169" s="2"/>
      <c r="L169" s="2" t="str">
        <f aca="false" t="array" ref="L169:L169">IF($G169="","",IFERROR(INDEX(Ангилал!$A$5:$A$22,MATCH(TRUE(),INDEX(ISNUMBER(SEARCH(Ангилал!$B$5:$B$22,$G169&amp;" "&amp;$E169))+ISNUMBER(SEARCH(Ангилал!$C$5:$C$22,$G169&amp;" "&amp;$E169))+IF(Ангилал!$D$5:$D$22="",0,ISNUMBER(SEARCH(Ангилал!$D$5:$D$22,$G169&amp;" "&amp;$E169)))+IF(Ангилал!$E$5:$E$22="",0,ISNUMBER(SEARCH(Ангилал!$E$5:$E$22,$G169&amp;" "&amp;$E169)))&gt;0,0),0)),"Бусад"))</f>
        <v>Амьд явах, халдашгүй байх эрх</v>
      </c>
      <c r="M169" s="2" t="s">
        <v>974</v>
      </c>
      <c r="N169" s="2" t="str">
        <f aca="false">IF($G169="","",IF($M169&lt;&gt;"",$M169,$L169))</f>
        <v>Эрүүл мэндийн эрх</v>
      </c>
      <c r="O169" s="2" t="str">
        <f aca="false" t="array" ref="O169:O169">IF($G169="","",IFERROR(INDEX(Ангилал!$G$5:$G$16,MATCH(TRUE(),INDEX(ISNUMBER(SEARCH(Ангилал!$H$5:$H$16,$G169&amp;" "&amp;$E169))+ISNUMBER(SEARCH(Ангилал!$I$5:$I$16,$G169&amp;" "&amp;$E169))+ISNUMBER(SEARCH(Ангилал!$J$5:$J$16,$G169&amp;" "&amp;$E169))+ISNUMBER(SEARCH(Ангилал!$K$5:$K$16,$G169&amp;" "&amp;$E169))&gt;0,0),0)),"Ерөнхий нийт"))</f>
        <v>Ажилчид, хөдөлмөр эрхлэгчид</v>
      </c>
      <c r="P169" s="2" t="s">
        <v>886</v>
      </c>
      <c r="Q169" s="2" t="str">
        <f aca="false">IF($G169="","",IF($P169&lt;&gt;"",$P169,$O169))</f>
        <v>Ерөнхий нийт</v>
      </c>
    </row>
    <row r="170" customFormat="false" ht="130.5" hidden="false" customHeight="true" outlineLevel="0" collapsed="false">
      <c r="A170" s="9" t="n">
        <v>145</v>
      </c>
      <c r="B170" s="10" t="s">
        <v>959</v>
      </c>
      <c r="C170" s="10" t="s">
        <v>1899</v>
      </c>
      <c r="D170" s="10" t="s">
        <v>1900</v>
      </c>
      <c r="E170" s="10" t="s">
        <v>1901</v>
      </c>
      <c r="F170" s="10" t="s">
        <v>1902</v>
      </c>
      <c r="G170" s="10" t="s">
        <v>1903</v>
      </c>
      <c r="H170" s="10" t="s">
        <v>1904</v>
      </c>
      <c r="I170" s="10" t="s">
        <v>1905</v>
      </c>
      <c r="J170" s="12" t="s">
        <v>1906</v>
      </c>
      <c r="K170" s="2"/>
      <c r="L170" s="2" t="str">
        <f aca="false" t="array" ref="L170:L170">IF($G170="","",IFERROR(INDEX(Ангилал!$A$5:$A$22,MATCH(TRUE(),INDEX(ISNUMBER(SEARCH(Ангилал!$B$5:$B$22,$G170&amp;" "&amp;$E170))+ISNUMBER(SEARCH(Ангилал!$C$5:$C$22,$G170&amp;" "&amp;$E170))+IF(Ангилал!$D$5:$D$22="",0,ISNUMBER(SEARCH(Ангилал!$D$5:$D$22,$G170&amp;" "&amp;$E170)))+IF(Ангилал!$E$5:$E$22="",0,ISNUMBER(SEARCH(Ангилал!$E$5:$E$22,$G170&amp;" "&amp;$E170)))&gt;0,0),0)),"Бусад"))</f>
        <v>Эрүүдэн шүүлт, хүнлэг бус харьцаа</v>
      </c>
      <c r="M170" s="2" t="s">
        <v>1039</v>
      </c>
      <c r="N170" s="2" t="str">
        <f aca="false">IF($G170="","",IF($M170&lt;&gt;"",$M170,$L170))</f>
        <v>Ялгаварлан гадуурхалтаас ангид байх, тэгш эрх</v>
      </c>
      <c r="O170" s="2" t="str">
        <f aca="false" t="array" ref="O170:O170">IF($G170="","",IFERROR(INDEX(Ангилал!$G$5:$G$16,MATCH(TRUE(),INDEX(ISNUMBER(SEARCH(Ангилал!$H$5:$H$16,$G170&amp;" "&amp;$E170))+ISNUMBER(SEARCH(Ангилал!$I$5:$I$16,$G170&amp;" "&amp;$E170))+ISNUMBER(SEARCH(Ангилал!$J$5:$J$16,$G170&amp;" "&amp;$E170))+ISNUMBER(SEARCH(Ангилал!$K$5:$K$16,$G170&amp;" "&amp;$E170))&gt;0,0),0)),"Ерөнхий нийт"))</f>
        <v>Эмэгтэйчүүд</v>
      </c>
      <c r="P170" s="2" t="s">
        <v>804</v>
      </c>
      <c r="Q170" s="2" t="str">
        <f aca="false">IF($G170="","",IF($P170&lt;&gt;"",$P170,$O170))</f>
        <v>Эмэгтэйчүүд</v>
      </c>
    </row>
    <row r="171" customFormat="false" ht="115.5" hidden="false" customHeight="true" outlineLevel="0" collapsed="false">
      <c r="A171" s="9" t="n">
        <v>146</v>
      </c>
      <c r="B171" s="10" t="s">
        <v>975</v>
      </c>
      <c r="C171" s="10" t="s">
        <v>862</v>
      </c>
      <c r="D171" s="10" t="s">
        <v>1907</v>
      </c>
      <c r="E171" s="10" t="s">
        <v>1908</v>
      </c>
      <c r="F171" s="10" t="s">
        <v>1909</v>
      </c>
      <c r="G171" s="10" t="s">
        <v>1910</v>
      </c>
      <c r="H171" s="10" t="s">
        <v>1911</v>
      </c>
      <c r="I171" s="10" t="s">
        <v>1660</v>
      </c>
      <c r="J171" s="12" t="s">
        <v>1912</v>
      </c>
      <c r="K171" s="2"/>
      <c r="L171" s="2" t="str">
        <f aca="false" t="array" ref="L171:L171">IF($G171="","",IFERROR(INDEX(Ангилал!$A$5:$A$22,MATCH(TRUE(),INDEX(ISNUMBER(SEARCH(Ангилал!$B$5:$B$22,$G171&amp;" "&amp;$E171))+ISNUMBER(SEARCH(Ангилал!$C$5:$C$22,$G171&amp;" "&amp;$E171))+IF(Ангилал!$D$5:$D$22="",0,ISNUMBER(SEARCH(Ангилал!$D$5:$D$22,$G171&amp;" "&amp;$E171)))+IF(Ангилал!$E$5:$E$22="",0,ISNUMBER(SEARCH(Ангилал!$E$5:$E$22,$G171&amp;" "&amp;$E171)))&gt;0,0),0)),"Бусад"))</f>
        <v>Хүүхдийн эрх</v>
      </c>
      <c r="M171" s="2" t="s">
        <v>957</v>
      </c>
      <c r="N171" s="2" t="str">
        <f aca="false">IF($G171="","",IF($M171&lt;&gt;"",$M171,$L171))</f>
        <v>Хүүхдийн эрх</v>
      </c>
      <c r="O171" s="2" t="str">
        <f aca="false" t="array" ref="O171:O171">IF($G171="","",IFERROR(INDEX(Ангилал!$G$5:$G$16,MATCH(TRUE(),INDEX(ISNUMBER(SEARCH(Ангилал!$H$5:$H$16,$G171&amp;" "&amp;$E171))+ISNUMBER(SEARCH(Ангилал!$I$5:$I$16,$G171&amp;" "&amp;$E171))+ISNUMBER(SEARCH(Ангилал!$J$5:$J$16,$G171&amp;" "&amp;$E171))+ISNUMBER(SEARCH(Ангилал!$K$5:$K$16,$G171&amp;" "&amp;$E171))&gt;0,0),0)),"Ерөнхий нийт"))</f>
        <v>Хүүхэд</v>
      </c>
      <c r="P171" s="2" t="s">
        <v>1007</v>
      </c>
      <c r="Q171" s="2" t="str">
        <f aca="false">IF($G171="","",IF($P171&lt;&gt;"",$P171,$O171))</f>
        <v>Хөгжлийн бэрхшээлтэй иргэд</v>
      </c>
    </row>
    <row r="172" customFormat="false" ht="130.5" hidden="false" customHeight="true" outlineLevel="0" collapsed="false">
      <c r="A172" s="9" t="n">
        <v>147</v>
      </c>
      <c r="B172" s="10" t="s">
        <v>975</v>
      </c>
      <c r="C172" s="10" t="s">
        <v>1913</v>
      </c>
      <c r="D172" s="10" t="s">
        <v>1914</v>
      </c>
      <c r="E172" s="10" t="s">
        <v>1915</v>
      </c>
      <c r="F172" s="10" t="s">
        <v>1916</v>
      </c>
      <c r="G172" s="10" t="s">
        <v>1917</v>
      </c>
      <c r="H172" s="10" t="s">
        <v>1303</v>
      </c>
      <c r="I172" s="10" t="s">
        <v>1918</v>
      </c>
      <c r="J172" s="12" t="s">
        <v>1919</v>
      </c>
      <c r="K172" s="2"/>
      <c r="L172" s="2" t="str">
        <f aca="false" t="array" ref="L172:L172">IF($G172="","",IFERROR(INDEX(Ангилал!$A$5:$A$22,MATCH(TRUE(),INDEX(ISNUMBER(SEARCH(Ангилал!$B$5:$B$22,$G172&amp;" "&amp;$E172))+ISNUMBER(SEARCH(Ангилал!$C$5:$C$22,$G172&amp;" "&amp;$E172))+IF(Ангилал!$D$5:$D$22="",0,ISNUMBER(SEARCH(Ангилал!$D$5:$D$22,$G172&amp;" "&amp;$E172)))+IF(Ангилал!$E$5:$E$22="",0,ISNUMBER(SEARCH(Ангилал!$E$5:$E$22,$G172&amp;" "&amp;$E172)))&gt;0,0),0)),"Бусад"))</f>
        <v>Эрүүдэн шүүлт, хүнлэг бус харьцаа</v>
      </c>
      <c r="M172" s="2" t="s">
        <v>1920</v>
      </c>
      <c r="N172" s="2" t="str">
        <f aca="false">IF($G172="","",IF($M172&lt;&gt;"",$M172,$L172))</f>
        <v>Эрүүдэн шүүлт, хүнлэг бус харьцаа</v>
      </c>
      <c r="O172" s="2" t="str">
        <f aca="false" t="array" ref="O172:O172">IF($G172="","",IFERROR(INDEX(Ангилал!$G$5:$G$16,MATCH(TRUE(),INDEX(ISNUMBER(SEARCH(Ангилал!$H$5:$H$16,$G172&amp;" "&amp;$E172))+ISNUMBER(SEARCH(Ангилал!$I$5:$I$16,$G172&amp;" "&amp;$E172))+ISNUMBER(SEARCH(Ангилал!$J$5:$J$16,$G172&amp;" "&amp;$E172))+ISNUMBER(SEARCH(Ангилал!$K$5:$K$16,$G172&amp;" "&amp;$E172))&gt;0,0),0)),"Ерөнхий нийт"))</f>
        <v>Хоригдол, саатуулагдсан хүн</v>
      </c>
      <c r="P172" s="2" t="s">
        <v>999</v>
      </c>
      <c r="Q172" s="2" t="str">
        <f aca="false">IF($G172="","",IF($P172&lt;&gt;"",$P172,$O172))</f>
        <v>Хоригдол, саатуулагдсан хүн</v>
      </c>
    </row>
    <row r="173" customFormat="false" ht="130.5" hidden="false" customHeight="true" outlineLevel="0" collapsed="false">
      <c r="A173" s="9" t="n">
        <v>148</v>
      </c>
      <c r="B173" s="10" t="s">
        <v>975</v>
      </c>
      <c r="C173" s="10" t="s">
        <v>1921</v>
      </c>
      <c r="D173" s="10" t="s">
        <v>1922</v>
      </c>
      <c r="E173" s="10" t="s">
        <v>1923</v>
      </c>
      <c r="F173" s="10" t="s">
        <v>1924</v>
      </c>
      <c r="G173" s="10" t="s">
        <v>1925</v>
      </c>
      <c r="H173" s="10" t="s">
        <v>1926</v>
      </c>
      <c r="I173" s="10" t="s">
        <v>1918</v>
      </c>
      <c r="J173" s="12" t="s">
        <v>1927</v>
      </c>
      <c r="K173" s="2"/>
      <c r="L173" s="2" t="str">
        <f aca="false" t="array" ref="L173:L173">IF($G173="","",IFERROR(INDEX(Ангилал!$A$5:$A$22,MATCH(TRUE(),INDEX(ISNUMBER(SEARCH(Ангилал!$B$5:$B$22,$G173&amp;" "&amp;$E173))+ISNUMBER(SEARCH(Ангилал!$C$5:$C$22,$G173&amp;" "&amp;$E173))+IF(Ангилал!$D$5:$D$22="",0,ISNUMBER(SEARCH(Ангилал!$D$5:$D$22,$G173&amp;" "&amp;$E173)))+IF(Ангилал!$E$5:$E$22="",0,ISNUMBER(SEARCH(Ангилал!$E$5:$E$22,$G173&amp;" "&amp;$E173)))&gt;0,0),0)),"Бусад"))</f>
        <v>Шударга шүүхээр шүүлгэх эрх</v>
      </c>
      <c r="M173" s="2" t="s">
        <v>991</v>
      </c>
      <c r="N173" s="2" t="str">
        <f aca="false">IF($G173="","",IF($M173&lt;&gt;"",$M173,$L173))</f>
        <v>Шударга шүүхээр шүүлгэх эрх</v>
      </c>
      <c r="O173" s="2" t="str">
        <f aca="false" t="array" ref="O173:O173">IF($G173="","",IFERROR(INDEX(Ангилал!$G$5:$G$16,MATCH(TRUE(),INDEX(ISNUMBER(SEARCH(Ангилал!$H$5:$H$16,$G173&amp;" "&amp;$E173))+ISNUMBER(SEARCH(Ангилал!$I$5:$I$16,$G173&amp;" "&amp;$E173))+ISNUMBER(SEARCH(Ангилал!$J$5:$J$16,$G173&amp;" "&amp;$E173))+ISNUMBER(SEARCH(Ангилал!$K$5:$K$16,$G173&amp;" "&amp;$E173))&gt;0,0),0)),"Ерөнхий нийт"))</f>
        <v>Ажилчид, хөдөлмөр эрхлэгчид</v>
      </c>
      <c r="P173" s="2" t="s">
        <v>886</v>
      </c>
      <c r="Q173" s="2" t="str">
        <f aca="false">IF($G173="","",IF($P173&lt;&gt;"",$P173,$O173))</f>
        <v>Ерөнхий нийт</v>
      </c>
    </row>
    <row r="174" customFormat="false" ht="144.75" hidden="false" customHeight="true" outlineLevel="0" collapsed="false">
      <c r="A174" s="9" t="n">
        <v>149</v>
      </c>
      <c r="B174" s="10" t="s">
        <v>1015</v>
      </c>
      <c r="C174" s="10" t="s">
        <v>1928</v>
      </c>
      <c r="D174" s="10" t="s">
        <v>1929</v>
      </c>
      <c r="E174" s="10" t="s">
        <v>1930</v>
      </c>
      <c r="F174" s="10" t="s">
        <v>1123</v>
      </c>
      <c r="G174" s="10" t="s">
        <v>1931</v>
      </c>
      <c r="H174" s="10" t="s">
        <v>1303</v>
      </c>
      <c r="I174" s="10" t="s">
        <v>1660</v>
      </c>
      <c r="J174" s="12" t="s">
        <v>1932</v>
      </c>
      <c r="K174" s="2"/>
      <c r="L174" s="2" t="str">
        <f aca="false" t="array" ref="L174:L174">IF($G174="","",IFERROR(INDEX(Ангилал!$A$5:$A$22,MATCH(TRUE(),INDEX(ISNUMBER(SEARCH(Ангилал!$B$5:$B$22,$G174&amp;" "&amp;$E174))+ISNUMBER(SEARCH(Ангилал!$C$5:$C$22,$G174&amp;" "&amp;$E174))+IF(Ангилал!$D$5:$D$22="",0,ISNUMBER(SEARCH(Ангилал!$D$5:$D$22,$G174&amp;" "&amp;$E174)))+IF(Ангилал!$E$5:$E$22="",0,ISNUMBER(SEARCH(Ангилал!$E$5:$E$22,$G174&amp;" "&amp;$E174)))&gt;0,0),0)),"Бусад"))</f>
        <v>Амьд явах, халдашгүй байх эрх</v>
      </c>
      <c r="M174" s="2" t="s">
        <v>931</v>
      </c>
      <c r="N174" s="2" t="str">
        <f aca="false">IF($G174="","",IF($M174&lt;&gt;"",$M174,$L174))</f>
        <v>Амьд явах, халдашгүй байх эрх</v>
      </c>
      <c r="O174" s="2" t="str">
        <f aca="false" t="array" ref="O174:O174">IF($G174="","",IFERROR(INDEX(Ангилал!$G$5:$G$16,MATCH(TRUE(),INDEX(ISNUMBER(SEARCH(Ангилал!$H$5:$H$16,$G174&amp;" "&amp;$E174))+ISNUMBER(SEARCH(Ангилал!$I$5:$I$16,$G174&amp;" "&amp;$E174))+ISNUMBER(SEARCH(Ангилал!$J$5:$J$16,$G174&amp;" "&amp;$E174))+ISNUMBER(SEARCH(Ангилал!$K$5:$K$16,$G174&amp;" "&amp;$E174))&gt;0,0),0)),"Ерөнхий нийт"))</f>
        <v>Ерөнхий нийт</v>
      </c>
      <c r="P174" s="2"/>
      <c r="Q174" s="2" t="str">
        <f aca="false">IF($G174="","",IF($P174&lt;&gt;"",$P174,$O174))</f>
        <v>Ерөнхий нийт</v>
      </c>
    </row>
  </sheetData>
  <mergeCells count="24">
    <mergeCell ref="C1:K1"/>
    <mergeCell ref="E2:I2"/>
    <mergeCell ref="A3:B3"/>
    <mergeCell ref="A12:J12"/>
    <mergeCell ref="A20:J20"/>
    <mergeCell ref="A30:J30"/>
    <mergeCell ref="A42:J42"/>
    <mergeCell ref="A53:J53"/>
    <mergeCell ref="A61:J61"/>
    <mergeCell ref="A65:J65"/>
    <mergeCell ref="A72:J72"/>
    <mergeCell ref="A77:J77"/>
    <mergeCell ref="A84:J84"/>
    <mergeCell ref="A90:J90"/>
    <mergeCell ref="A100:J100"/>
    <mergeCell ref="A109:J109"/>
    <mergeCell ref="A115:J115"/>
    <mergeCell ref="A120:J120"/>
    <mergeCell ref="A124:J124"/>
    <mergeCell ref="A128:J128"/>
    <mergeCell ref="A130:J130"/>
    <mergeCell ref="A132:J132"/>
    <mergeCell ref="A141:J141"/>
    <mergeCell ref="A155:J155"/>
  </mergeCells>
  <hyperlinks>
    <hyperlink ref="J6" r:id="rId2" display="‘Clock is ticking’: Hormuz disruption raises fears of global food crisis | UN News"/>
    <hyperlink ref="J7" r:id="rId3" display="Tech gaps and budget cuts threaten global efforts to track and help the vulnerable | UN News"/>
    <hyperlink ref="J8" r:id="rId4" display="https://news.un.org/en/story/2026/04/1167302"/>
    <hyperlink ref="J9" r:id="rId5" display="https://news.un.org/en/story/2026/04/1167314&#10;&#10;https://www.ohchr.org/en/press-releases/2026/04/un-experts-demand-accountability-trafficking-allegations-epstein-files-warn "/>
    <hyperlink ref="J10" r:id="rId6" display="https://www.hrw.org/news/2026/04/13/sex-testing-all-women-athletes-is-a-discriminatory-rights-violation&#10;&#10;https://www.olympics.com/ioc/news/international-olympic-committee-announces-new-policy-on-the-protection-of-the-female-women-s-category-in-olympic-sport"/>
    <hyperlink ref="J11" r:id="rId7" display="https://www.civicus.org/index.php/media-resources/news/8253-andrea-bolanos-vargas-appointed-un-special-rapporteur-on-the-situation-of-human-rights-defenders-by-the-un-human-rights-council&#10;&#10;"/>
    <hyperlink ref="J13" r:id="rId8" display="https://ikon.mn/n/3mtg "/>
    <hyperlink ref="J14" r:id="rId9" display="https://ikon.mn/n/3mul"/>
    <hyperlink ref="J15" r:id="rId10" display="https://ikon.mn/n/3mw0"/>
    <hyperlink ref="J16" r:id="rId11" display="https://ikon.mn/n/3mwe"/>
    <hyperlink ref="J17" r:id="rId12" display="https://www.montsame.mn/mn/read/396734"/>
    <hyperlink ref="J18" r:id="rId13" display="https://news.un.org/en/story/2026/04/1167352"/>
    <hyperlink ref="J19" r:id="rId14" display="https://news.un.org/en/story/2026/04/1167373"/>
    <hyperlink ref="J21" r:id="rId15" display="https://news.un.org/en/story/2026/04/1167374"/>
    <hyperlink ref="J22" r:id="rId16" display="https://news.un.org/en/story/2026/04/1167387"/>
    <hyperlink ref="J23" r:id="rId17" display="https://montsame.mn/mn/read/397382 "/>
    <hyperlink ref="J24" r:id="rId18" display="https://ikon.mn/n/3n3n "/>
    <hyperlink ref="J25" r:id="rId19" display="https://www.hrw.org/news/2026/04/28/a-deadline-for-the-world-to-act-on-womens-rights"/>
    <hyperlink ref="J26" r:id="rId20" display="https://ikon.mn/n/3n4o "/>
    <hyperlink ref="J27" r:id="rId21" display="https://www.hrw.org/news/2026/04/29/nepal-transgender-rights-progress-stalls "/>
    <hyperlink ref="J28" r:id="rId22" display="https://news.un.org/en/story/2026/04/1167411"/>
    <hyperlink ref="J29" r:id="rId23" display="https://news.un.org/en/story/2026/04/1167418"/>
    <hyperlink ref="J31" r:id="rId24" display="https://rsf.org/en/index "/>
    <hyperlink ref="J32" r:id="rId25" display="https://news.un.org/en/story/2026/04/1167416&#10;&#10; https://www.unwomen.org/sites/default/files/2026-04/tipping-point-online-violence-impacts-manifestations-and-redress-en.pdf"/>
    <hyperlink ref="J33" r:id="rId26" display="https://edition.cnn.com/2026/04/29/uk/north-london-stabbing-jewish-community-intl"/>
    <hyperlink ref="J34" r:id="rId27" display="https://www.bbc.com/news/articles/c8r8j1l6j0go"/>
    <hyperlink ref="J35" r:id="rId28" display="https://news.un.org/en/story/2026/05/1167439"/>
    <hyperlink ref="J36" r:id="rId29" display="https://www.hrw.org/news/2026/05/04/china-harmonization-plan-erasing-tibetan-language"/>
    <hyperlink ref="J37" r:id="rId30" display="https://news.un.org/en/story/2026/05/1167445"/>
    <hyperlink ref="J38" r:id="rId31" display="https://news.un.org/en/story/2026/05/1167449"/>
    <hyperlink ref="J39" r:id="rId32" display="https://www.civicus.org/index.php/media-resources/news/8302-bahrain-civil-society-urges-world-leaders-to-act-against-citizenship-stripping-and-related-human-rights-violations"/>
    <hyperlink ref="J40" r:id="rId33" display="https://edition.cnn.com/2026/05/05/europe/russia-strike-before-victory-day-parade-intl"/>
    <hyperlink ref="J41" r:id="rId34" display="https://www.hrw.org/news/2026/05/07/un-guidance-on-dismantling-gender-stereotypes&#10;&#10;Төсөл:&#10;https://www.ohchr.org/en/calls-for-input/2026/call-comments-draft-general-recommendation-gender-stereotypes "/>
    <hyperlink ref="J43" r:id="rId35" display="https://www.hrw.org/news/2026/05/08/australia-3-alleged-isis-linked-women-face-serious-charges "/>
    <hyperlink ref="J44" r:id="rId36" display="https://news.un.org/en/story/2026/05/1167484"/>
    <hyperlink ref="J45" r:id="rId37" display="https://www.hrw.org/news/2026/05/12/european-union-surveillance-technology-sold-to-rights-violators&#10;&#10;тайлангийн холбоос: https://www.hrw.org/sites/default/files/media_2026/05/eu_spyware0526%20web_2.pdf "/>
    <hyperlink ref="J46" r:id="rId38" display="https://news.un.org/en/story/2026/05/1167492"/>
    <hyperlink ref="J47" r:id="rId39" display="https://news.un.org/en/story/2026/05/1167495"/>
    <hyperlink ref="J48" r:id="rId40" display="https://lemonpress.mn/post/cVgdzJ86xR6"/>
    <hyperlink ref="J49" r:id="rId41" display="https://news.un.org/en/story/2026/05/1167502"/>
    <hyperlink ref="J50" r:id="rId42" display="https://www.bbc.com/future/article/20260513-your-car-is-spying-on-you-its-about-to-get-worse"/>
    <hyperlink ref="J51" r:id="rId43" display="https://news.un.org/en/story/2026/05/1167504"/>
    <hyperlink ref="J52" r:id="rId44" display="https://news.un.org/en/story/2026/05/1167514"/>
    <hyperlink ref="J54" r:id="rId45" display="https://news.un.org/en/story/2026/05/1167520"/>
    <hyperlink ref="J55" r:id="rId46" display="https://ikon.mn/n/3njt"/>
    <hyperlink ref="J56" r:id="rId47" display="https://ikon.mn/n/3nk4"/>
    <hyperlink ref="J57" r:id="rId48" display="https://news.un.org/en/story/2026/05/1167532"/>
    <hyperlink ref="J58" r:id="rId49" display="https://news.un.org/en/story/2026/05/1167541"/>
    <hyperlink ref="J59" r:id="rId50" display="https://www.montsame.mn/mn/read/399523"/>
    <hyperlink ref="J60" r:id="rId51" display="https://news.un.org/en/story/2026/05/1167554"/>
    <hyperlink ref="J62" r:id="rId52" display="https://www.democracynow.org/2026/5/28/headlines"/>
    <hyperlink ref="J63" r:id="rId53" display="https://www.hrw.org/news/2026/05/28/russia-lgbt-rights-groups-further-criminalized"/>
    <hyperlink ref="J64" r:id="rId54" display="https://www.hrw.org/news"/>
    <hyperlink ref="J66" r:id="rId55" display="https://news.un.org/en/story/2026/05/1167608"/>
    <hyperlink ref="J67" r:id="rId56" display="https://ikon.mn/n/3nwu"/>
    <hyperlink ref="J68" r:id="rId57" display="https://news.un.org/en/story/2026/06/1167620&#10;&#10;Монгол хэл дээр: https://www.montsame.mn/mn/read/400867"/>
    <hyperlink ref="J69" r:id="rId58" display="https://news.un.org/en/story/2026/06/1167644"/>
    <hyperlink ref="J70" r:id="rId59" display="https://ikon.mn/n/3nyj"/>
    <hyperlink ref="J71" r:id="rId60" display="https://news.un.org/en/story/2026/06/1167658"/>
    <hyperlink ref="J73" r:id="rId61" display="https://www.hrw.org/news/2026/06/11/afghanistan-taliban-use-excessive-force-against-protesters"/>
    <hyperlink ref="E74" r:id="rId62" display="Пакистаны хяналтад байдаг Жамму ба Кашмир мужийн эрх баригчид 6 дугаар сарын 5-нд иргэдийн эрхийн төлөөх &quot;Жамму ба Кашмирын хамтарсан Авами үйл ажиллагааны хороо&quot;-г террорист байгууллагаар зарласанд Эмнести Интернэшнл түгшиж буйгаа илэрхийлэв. Энэ нь тус бүс нутагт хүний эрхийг хамгаалагчдыг олноор нь баривчлах, хүч хэрэглэх хууль эрх зүйн дарамтыг улам лавшруулсан үйлдэл болжээ."/>
    <hyperlink ref="J74" r:id="rId63" display="https://www.amnesty.org/en/latest/news/2026/06/pakistan-terrorism-designation-of-protest-movement-marks-dangerous-escalation-in-jammu-and-kashmir-crackdown/"/>
    <hyperlink ref="J75" r:id="rId64" display="https://www.amnesty.org/en/latest/news/2026/06/mexico-las-autoridades-deben-garantizar-el-derecho-a-la-protesta-pacifica-de-familias-buscadoras/"/>
    <hyperlink ref="J76" r:id="rId65" display="https://www.amnesty.org/en/latest/news/2026/06/mexico-las-autoridades-deben-garantizar-el-derecho-a-la-protesta-pacifica-de-familias-buscadoras/"/>
    <hyperlink ref="J78" r:id="rId66" display="https://www.montsame.mn/mn/read/402219"/>
    <hyperlink ref="J79" r:id="rId67" display="https://ikon.mn/n/3o9w"/>
    <hyperlink ref="J80" r:id="rId68" display="https://www.montsame.mn/mn/read/402374"/>
    <hyperlink ref="J81" r:id="rId69" display="https://news.un.org/en/story/2026/06/1167752"/>
    <hyperlink ref="J82" r:id="rId70" display="https://news.un.org/en/story/2026/06/1167760 "/>
    <hyperlink ref="J83" r:id="rId71" display="https://www.montsame.mn/mn/read/402666"/>
    <hyperlink ref="J85" r:id="rId72" display="OHCHR Press Release"/>
    <hyperlink ref="J86" r:id="rId73" display="Human Rights Watch Turkey"/>
    <hyperlink ref="J87" r:id="rId74" display="UN Information System"/>
    <hyperlink ref="J88" r:id="rId75" display="HRW Report"/>
    <hyperlink ref="J89" r:id="rId76" display="Human Rights Watch Jordan"/>
    <hyperlink ref="J91" r:id="rId77" display="https://www.visionofhumanity.org/maps/?gad_source=1&amp;gad_campaignid=22116084622&amp;gbraid=0AAAAADmneRZc0ajDaNrT9ULPtjwi5cYQH&amp;gclid=CjwKCAjwmJjSBhB-EiwAkZgxi3GrazTIfu5C9zCXJrLf0slPuQelRDnEmcbh80aGEw9UL--Msp7jbhoC9ZoQAvD_BwE#/"/>
    <hyperlink ref="J92" r:id="rId78" display="https://news.un.org/en/story/2026/06/1167790&#10;https://ikon.mn/n/3oh9"/>
    <hyperlink ref="J93" r:id="rId79" display="https://www.amnesty.org/en/latest/news/2026/06/global-un-drug-control-bodies-must-take-urgent-action-towards-ending-unlawful-use-of-the-death-penalty-for-drug-related-offences/"/>
    <hyperlink ref="J94" r:id="rId80" display="https://www.montsame.mn/mn/read/403293"/>
    <hyperlink ref="J95" r:id="rId81" display="https://ikon.mn/n/3ol5"/>
    <hyperlink ref="J96" r:id="rId82" display="https://www.ohchr.org/en/press-releases/2026/06/sudan-human-rights-council-hold-urgent-debate-3-july-human-rights-situation"/>
    <hyperlink ref="J97" r:id="rId83" display="https://ikon.mn/n/3oni"/>
    <hyperlink ref="J98" r:id="rId84" display="https://www.montsame.mn/mn/read/403731"/>
    <hyperlink ref="J99" r:id="rId85" display="https://ikon.mn/n/3opo"/>
    <hyperlink ref="J101" r:id="rId86" display=" https://news.un.org/en/story/2026/07/1168045"/>
    <hyperlink ref="J102" r:id="rId87" display="https://news.un.org/en/story/2026/07/1168057"/>
    <hyperlink ref="J103" r:id="rId88" display="https://news.un.org/en/story/2026/07/1168051"/>
    <hyperlink ref="J104" r:id="rId89" display="https://www.france24.com/en/europe/20260730-hundreds-of-migrants-enter-spain-north-african-territory-ceuta-from-morocco "/>
    <hyperlink ref="J105" r:id="rId90" display="https://www.aljazeera.com/news/2026/7/31/nepals-pm-urges-calm-as-three-people-killed-after-hindu-muslim-unrest "/>
    <hyperlink ref="J106" r:id="rId91" display="https://www.hrw.org/news/2026/07/29/vietnam-quash-conviction-of-social-media-commentator"/>
    <hyperlink ref="J107" r:id="rId92" display="https://www.hongkongwatch.org/all-posts/2026/30/7/hong-kong-watch-briefing-on-human-rights-developments-july-2026"/>
    <hyperlink ref="J108" r:id="rId93" display="https://www.justsecurity.org/150442/early-edition-july-30-2026-2/"/>
    <hyperlink ref="J110" r:id="rId94" display="https://ikon.mn/n/3pdg"/>
    <hyperlink ref="J111" r:id="rId95" display="https://www.ohchr.org/en/press-releases/2026/08/un-expert-respect-human-rights-key-resolving-multiple-crises-cambodia?utm_source=chatgpt.com"/>
    <hyperlink ref="J112" r:id="rId96" display="https://news.un.org/en/story/2026/08/1168079"/>
    <hyperlink ref="J113" r:id="rId97" display="https://ikon.mn/n/3pgo"/>
    <hyperlink ref="J114" r:id="rId98" display="https://www.montsame.mn/mn/read/406316"/>
    <hyperlink ref="J116" r:id="rId99" display="https://www.ohchr.org/en/press-releases/2026/08/un-experts-condemn-escalation-attacks-against-palestinians-gaza-and-west"/>
    <hyperlink ref="J117" r:id="rId100" display="https://www.ohchr.org/en/press-releases/2026/08/lebanon-abolition-death-penalty"/>
    <hyperlink ref="J118" r:id="rId101" display="https://rsf.org/en/venezuela-rsf-and-partner-organisations-highlight-four-years-severe-restrictions-press-freedom"/>
    <hyperlink ref="J119" r:id="rId102" display="https://www.hrw.org/news/2026/08/13/us-federal-agencies-abandon-civil-rights-duties"/>
    <hyperlink ref="J121" r:id="rId103" display="https://www.democracynow.org/2026/8/6/kashmir_mass_protests"/>
    <hyperlink ref="J122" r:id="rId104" display="https://www.ohchr.org/en/press-releases/2026/08/south-sudan-un-commission-warns-elections-without-essential-safeguards-and "/>
    <hyperlink ref="J123" r:id="rId105" display="https://www.ilo.org"/>
    <hyperlink ref="J125" r:id="rId106" display="https://www.amnesty.org"/>
    <hyperlink ref="J126" r:id="rId107" display="https://press.un.org/en/2026/sc16437.doc.htm"/>
    <hyperlink ref="J127" r:id="rId108" display="https://www.ochaopt.org/content/humanitarian-situation-report-28-august-2026"/>
    <hyperlink ref="J129" r:id="rId109" display="https://www.hrw.org/news/2026/09/03/india-renewed-ethnic-violence-in-manipur"/>
    <hyperlink ref="J131" r:id="rId110" display="https://www.hrw.org/news/2026/09/10/iran-ongoing-unlawful-execution-campaign-against-protesters"/>
    <hyperlink ref="J133" r:id="rId111" display="https://www.hrw.org/news/2026/09/21/another-journalist-in-mali-sentenced-to-prison"/>
    <hyperlink ref="J134" r:id="rId112" display="https://www.hrw.org/news/2026/09/21/us-deportations-to-haiti-endanger-lives"/>
    <hyperlink ref="J135" r:id="rId113" display="https://www.hrw.org/news/2026/09/21/armenian-prisoners-in-azerbaijan-allege-rights-violations"/>
    <hyperlink ref="J136" r:id="rId114" display="https://www.hrw.org/news/2026/09/22/niger-junta-strips-5-more-exiled-critics-of-nationality"/>
    <hyperlink ref="J137" r:id="rId115" display="https://www.hrw.org/news/2026/09/23/south-koreas-systemic-gender-and-age-discrimination"/>
    <hyperlink ref="J138" r:id="rId116" display="https://www.hrw.org/news/2026/09/24/malaysia-release-detained-human-rights-defenders-and-end-harassment-against-them"/>
    <hyperlink ref="J139" r:id="rId117" display="https://www.hrw.org/news/2026/09/24/russia-crackdown-on-bypassing-online-censorship"/>
    <hyperlink ref="J140" r:id="rId118" display="https://www.hrw.org/news/2026/09/25/ethiopia-indiscriminate-airstrike-in-tigray"/>
    <hyperlink ref="J142" r:id="rId119" display="https://www.hrw.org/news/2026/09/27/syria-reconstruction-deals-lack-critical-rights-framework"/>
    <hyperlink ref="J143" r:id="rId120" display="https://www.hrw.org/news/2026/09/28/children-in-anguish-as-us-immigration-arrests-surge"/>
    <hyperlink ref="J144" r:id="rId121" display="https://www.amnesty.org/en/latest/news/2026/09/mali-war-wagner/"/>
    <hyperlink ref="J145" r:id="rId122" display="https://www.hrw.org/news/2026/09/30/united-arab-emirates-a-year-on-critic-remains-in-detention"/>
    <hyperlink ref="J146" r:id="rId123" display="https://www.amnesty.org/en/latest/news/2026/09/haiti-ataque-en-artibonite-demuestra-la-urgencia-de-convertir-los-compromisos-internacionales-en-proteccion-efectiva/"/>
    <hyperlink ref="J147" r:id="rId124" display="https://news.un.org/en/story/2026/09/1168496"/>
    <hyperlink ref="J148" r:id="rId125" display="https://www.hrw.org/news/2026/10/01/uzbekistan-guarantee-karakalpak-lawyers-safety"/>
    <hyperlink ref="J149" r:id="rId126" display="https://www.hrw.org/news/2026/10/01/us-nebraskans-losing-coverage-as-medicaid-changes"/>
    <hyperlink ref="J150" r:id="rId127" display="https://www.hrw.org/news/2026/10/01/uk-trial-challenges-gold-industrys-responsible-gold-certification"/>
    <hyperlink ref="J151" r:id="rId128" display="https://www.amnesty.org/en/latest/news/2026/10/algeria-parliament-must-reject-regressive-legislation-expanding-death-penalty/"/>
    <hyperlink ref="J152" r:id="rId129" display="https://www.amnesty.org/en/latest/news/2026/10/whistleblower-reveals-how-morocco-used-a-web-of-surveillance-to-silence-journalists/"/>
    <hyperlink ref="J153" r:id="rId130" display="https://news.un.org/en/story/2026/10/1168504"/>
    <hyperlink ref="J154" r:id="rId131" display="https://news.un.org/en/story/2026/10/1168499"/>
    <hyperlink ref="J156" r:id="rId132" display="https://www.hrw.org/news/2026/10/03/greece-rights-defenders-on-trial"/>
    <hyperlink ref="J157" r:id="rId133" display="https://www.hrw.org/news/2026/10/04/afghans-await-justice-25-years-after-war-began"/>
    <hyperlink ref="J158" r:id="rId134" display="https://www.hrw.org/news/2026/10/05/iraq-dire-prospects-for-alleged-isis-linked-men-boys"/>
    <hyperlink ref="J159" r:id="rId135" display="https://www.amnesty.org/en/latest/news/2026/10/france-authorities-must-de-escalate-tensions-during-student-protests/"/>
    <hyperlink ref="J160" r:id="rId136" display="https://www.hrw.org/news/2026/10/06/tunisia-power-water-shortages-endanger-rights"/>
    <hyperlink ref="J161" r:id="rId137" display="https://www.hrw.org/news/2026/10/06/yemen-houthis-prosecute-un-civil-society-staff"/>
    <hyperlink ref="J162" r:id="rId138" display="https://www.hrw.org/news/2026/10/06/missing-lao-critic-in-thailand-feared-disappeared"/>
    <hyperlink ref="J163" r:id="rId139" display="https://www.hrw.org/news/2026/10/06/eu-ending-funding-for-anti-racism-network"/>
    <hyperlink ref="J164" r:id="rId140" display="https://www.amnesty.org/en/latest/news/2026/10/saudi-arabia-overturn-death-sentence-against-sri-lankan-migrant-worker-over-social-media-post/"/>
    <hyperlink ref="J165" r:id="rId141" display="https://www.hrw.org/news/2026/10/08/us-deportations-to-african-countries-not-their-own"/>
    <hyperlink ref="J166" r:id="rId142" display="https://www.hrw.org/news/2026/10/08/blogger-jailed-for-four-years-in-uzbekistan"/>
    <hyperlink ref="J167" r:id="rId143" display="https://www.hrw.org/news/2026/10/08/bahrain-authorities-rearrest-pardoned-detainees"/>
    <hyperlink ref="J168" r:id="rId144" display="https://www.hrw.org/news/2026/10/08/un-child-rights-committee-calls-for-free-pre-primary-education-in-uganda"/>
    <hyperlink ref="J169" r:id="rId145" display="https://www.hrw.org/news/2026/10/08/airstrike-damages-hospital-in-central-ukraine"/>
    <hyperlink ref="J171" r:id="rId146" display="https://www.hrw.org/news/2026/10/09/wars-hidden-mental-health-toll-on-children-with-disabilities"/>
    <hyperlink ref="J172" r:id="rId147" display="https://www.ohchr.org/en/press-briefing-notes/2026/10/syria-detentions-syrians-israeli-forces-amid-ongoing-israeli"/>
    <hyperlink ref="J173" r:id="rId148" display="https://www.ohchr.org/en/press-releases/2026/10/new-us-sanctions-against-international-criminal-court-unacceptable-turk"/>
    <hyperlink ref="J174" r:id="rId149" display="https://www.hrw.org/news/2026/10/10/gaza-ceasefire-anniversary-marks-year-of-failed-promise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5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57"/>
    <col collapsed="false" customWidth="true" hidden="false" outlineLevel="0" max="2" min="2" style="0" width="29.14"/>
    <col collapsed="false" customWidth="true" hidden="false" outlineLevel="0" max="6" min="3" style="0" width="17.29"/>
    <col collapsed="false" customWidth="true" hidden="false" outlineLevel="0" max="7" min="7" style="0" width="50.86"/>
    <col collapsed="false" customWidth="true" hidden="false" outlineLevel="0" max="8" min="8" style="0" width="29.14"/>
    <col collapsed="false" customWidth="true" hidden="false" outlineLevel="0" max="11" min="9" style="0" width="17.29"/>
  </cols>
  <sheetData>
    <row r="1" customFormat="false" ht="18" hidden="false" customHeight="true" outlineLevel="0" collapsed="false">
      <c r="A1" s="14" t="s">
        <v>1933</v>
      </c>
      <c r="B1" s="15"/>
      <c r="C1" s="15"/>
      <c r="D1" s="15"/>
      <c r="E1" s="15"/>
      <c r="F1" s="15"/>
      <c r="G1" s="15"/>
      <c r="H1" s="15"/>
      <c r="I1" s="15"/>
      <c r="J1" s="15"/>
      <c r="K1" s="15"/>
    </row>
    <row r="2" customFormat="false" ht="15" hidden="false" customHeight="false" outlineLevel="0" collapsed="false">
      <c r="A2" s="16" t="s">
        <v>1934</v>
      </c>
      <c r="B2" s="15"/>
      <c r="C2" s="15"/>
      <c r="D2" s="15"/>
      <c r="E2" s="15"/>
      <c r="F2" s="15"/>
      <c r="G2" s="15"/>
      <c r="H2" s="15"/>
      <c r="I2" s="15"/>
      <c r="J2" s="15"/>
      <c r="K2" s="15"/>
    </row>
    <row r="3" customFormat="false" ht="15" hidden="false" customHeight="false" outlineLevel="0" collapsed="false">
      <c r="A3" s="15"/>
      <c r="B3" s="15"/>
      <c r="C3" s="15"/>
      <c r="D3" s="15"/>
      <c r="E3" s="15"/>
      <c r="F3" s="15"/>
      <c r="G3" s="15"/>
      <c r="H3" s="15"/>
      <c r="I3" s="15"/>
      <c r="J3" s="15"/>
      <c r="K3" s="15"/>
    </row>
    <row r="4" customFormat="false" ht="15" hidden="false" customHeight="false" outlineLevel="0" collapsed="false">
      <c r="A4" s="17" t="s">
        <v>18</v>
      </c>
      <c r="B4" s="17" t="s">
        <v>1935</v>
      </c>
      <c r="C4" s="17" t="s">
        <v>1936</v>
      </c>
      <c r="D4" s="17" t="s">
        <v>1937</v>
      </c>
      <c r="E4" s="17" t="s">
        <v>1938</v>
      </c>
      <c r="F4" s="15"/>
      <c r="G4" s="18" t="s">
        <v>21</v>
      </c>
      <c r="H4" s="18" t="s">
        <v>1935</v>
      </c>
      <c r="I4" s="18" t="s">
        <v>1936</v>
      </c>
      <c r="J4" s="18" t="s">
        <v>1937</v>
      </c>
      <c r="K4" s="18" t="s">
        <v>1938</v>
      </c>
    </row>
    <row r="5" customFormat="false" ht="15" hidden="false" customHeight="false" outlineLevel="0" collapsed="false">
      <c r="A5" s="19" t="s">
        <v>1920</v>
      </c>
      <c r="B5" s="20" t="s">
        <v>1939</v>
      </c>
      <c r="C5" s="20" t="s">
        <v>1940</v>
      </c>
      <c r="D5" s="20" t="s">
        <v>1941</v>
      </c>
      <c r="E5" s="20" t="s">
        <v>1942</v>
      </c>
      <c r="F5" s="15"/>
      <c r="G5" s="19" t="s">
        <v>958</v>
      </c>
      <c r="H5" s="20" t="s">
        <v>1943</v>
      </c>
      <c r="I5" s="20" t="s">
        <v>1944</v>
      </c>
      <c r="J5" s="20" t="s">
        <v>1945</v>
      </c>
      <c r="K5" s="20" t="s">
        <v>1946</v>
      </c>
    </row>
    <row r="6" customFormat="false" ht="15" hidden="false" customHeight="false" outlineLevel="0" collapsed="false">
      <c r="A6" s="19" t="s">
        <v>957</v>
      </c>
      <c r="B6" s="20" t="s">
        <v>1943</v>
      </c>
      <c r="C6" s="20" t="s">
        <v>1944</v>
      </c>
      <c r="D6" s="20" t="s">
        <v>1947</v>
      </c>
      <c r="E6" s="20" t="s">
        <v>1946</v>
      </c>
      <c r="F6" s="15"/>
      <c r="G6" s="19" t="s">
        <v>804</v>
      </c>
      <c r="H6" s="20" t="s">
        <v>1948</v>
      </c>
      <c r="I6" s="20" t="s">
        <v>1949</v>
      </c>
      <c r="J6" s="20" t="s">
        <v>1950</v>
      </c>
      <c r="K6" s="20" t="s">
        <v>1951</v>
      </c>
    </row>
    <row r="7" customFormat="false" ht="15" hidden="false" customHeight="false" outlineLevel="0" collapsed="false">
      <c r="A7" s="19" t="s">
        <v>931</v>
      </c>
      <c r="B7" s="20" t="s">
        <v>1952</v>
      </c>
      <c r="C7" s="20" t="s">
        <v>1953</v>
      </c>
      <c r="D7" s="20" t="s">
        <v>1954</v>
      </c>
      <c r="E7" s="20" t="s">
        <v>1955</v>
      </c>
      <c r="F7" s="15"/>
      <c r="G7" s="19" t="s">
        <v>1007</v>
      </c>
      <c r="H7" s="20" t="s">
        <v>1956</v>
      </c>
      <c r="I7" s="20" t="s">
        <v>1957</v>
      </c>
      <c r="J7" s="20" t="s">
        <v>1958</v>
      </c>
      <c r="K7" s="20" t="s">
        <v>1959</v>
      </c>
    </row>
    <row r="8" customFormat="false" ht="15" hidden="false" customHeight="false" outlineLevel="0" collapsed="false">
      <c r="A8" s="19" t="s">
        <v>974</v>
      </c>
      <c r="B8" s="20" t="s">
        <v>1960</v>
      </c>
      <c r="C8" s="20" t="s">
        <v>1961</v>
      </c>
      <c r="D8" s="20" t="s">
        <v>1962</v>
      </c>
      <c r="E8" s="20" t="s">
        <v>1963</v>
      </c>
      <c r="F8" s="15"/>
      <c r="G8" s="19" t="s">
        <v>1032</v>
      </c>
      <c r="H8" s="20" t="s">
        <v>1964</v>
      </c>
      <c r="I8" s="20" t="s">
        <v>1965</v>
      </c>
      <c r="J8" s="20" t="s">
        <v>1966</v>
      </c>
      <c r="K8" s="20" t="s">
        <v>1967</v>
      </c>
    </row>
    <row r="9" customFormat="false" ht="15" hidden="false" customHeight="false" outlineLevel="0" collapsed="false">
      <c r="A9" s="19" t="s">
        <v>96</v>
      </c>
      <c r="B9" s="20" t="s">
        <v>1968</v>
      </c>
      <c r="C9" s="20" t="s">
        <v>1969</v>
      </c>
      <c r="D9" s="20" t="s">
        <v>1970</v>
      </c>
      <c r="E9" s="20" t="s">
        <v>1971</v>
      </c>
      <c r="F9" s="15"/>
      <c r="G9" s="19" t="s">
        <v>1859</v>
      </c>
      <c r="H9" s="20" t="s">
        <v>1972</v>
      </c>
      <c r="I9" s="20" t="s">
        <v>1973</v>
      </c>
      <c r="J9" s="20" t="s">
        <v>1974</v>
      </c>
      <c r="K9" s="20" t="s">
        <v>1975</v>
      </c>
    </row>
    <row r="10" customFormat="false" ht="15" hidden="false" customHeight="false" outlineLevel="0" collapsed="false">
      <c r="A10" s="19" t="s">
        <v>803</v>
      </c>
      <c r="B10" s="20" t="s">
        <v>1976</v>
      </c>
      <c r="C10" s="20" t="s">
        <v>1977</v>
      </c>
      <c r="D10" s="20" t="s">
        <v>1978</v>
      </c>
      <c r="E10" s="20" t="s">
        <v>1979</v>
      </c>
      <c r="F10" s="15"/>
      <c r="G10" s="19" t="s">
        <v>1721</v>
      </c>
      <c r="H10" s="20" t="s">
        <v>1980</v>
      </c>
      <c r="I10" s="20" t="s">
        <v>1981</v>
      </c>
      <c r="J10" s="20" t="s">
        <v>1982</v>
      </c>
      <c r="K10" s="20" t="s">
        <v>1983</v>
      </c>
    </row>
    <row r="11" customFormat="false" ht="15" hidden="false" customHeight="false" outlineLevel="0" collapsed="false">
      <c r="A11" s="19" t="s">
        <v>1039</v>
      </c>
      <c r="B11" s="20" t="s">
        <v>1984</v>
      </c>
      <c r="C11" s="20" t="s">
        <v>1985</v>
      </c>
      <c r="D11" s="20" t="s">
        <v>1986</v>
      </c>
      <c r="E11" s="20" t="s">
        <v>1987</v>
      </c>
      <c r="F11" s="15"/>
      <c r="G11" s="19" t="s">
        <v>999</v>
      </c>
      <c r="H11" s="20" t="s">
        <v>1942</v>
      </c>
      <c r="I11" s="20" t="s">
        <v>1941</v>
      </c>
      <c r="J11" s="20" t="s">
        <v>1988</v>
      </c>
      <c r="K11" s="20" t="s">
        <v>1989</v>
      </c>
    </row>
    <row r="12" customFormat="false" ht="15" hidden="false" customHeight="false" outlineLevel="0" collapsed="false">
      <c r="A12" s="19" t="s">
        <v>815</v>
      </c>
      <c r="B12" s="20" t="s">
        <v>1990</v>
      </c>
      <c r="C12" s="20" t="s">
        <v>1991</v>
      </c>
      <c r="D12" s="20" t="s">
        <v>1992</v>
      </c>
      <c r="E12" s="20" t="s">
        <v>1993</v>
      </c>
      <c r="F12" s="15"/>
      <c r="G12" s="19" t="s">
        <v>915</v>
      </c>
      <c r="H12" s="20" t="s">
        <v>1994</v>
      </c>
      <c r="I12" s="20" t="s">
        <v>1995</v>
      </c>
      <c r="J12" s="20" t="s">
        <v>1996</v>
      </c>
      <c r="K12" s="20" t="s">
        <v>1997</v>
      </c>
    </row>
    <row r="13" customFormat="false" ht="15" hidden="false" customHeight="false" outlineLevel="0" collapsed="false">
      <c r="A13" s="19" t="s">
        <v>991</v>
      </c>
      <c r="B13" s="20" t="s">
        <v>1998</v>
      </c>
      <c r="C13" s="20" t="s">
        <v>1999</v>
      </c>
      <c r="D13" s="20" t="s">
        <v>2000</v>
      </c>
      <c r="E13" s="20" t="s">
        <v>2001</v>
      </c>
      <c r="F13" s="15"/>
      <c r="G13" s="19" t="s">
        <v>1024</v>
      </c>
      <c r="H13" s="20" t="s">
        <v>2002</v>
      </c>
      <c r="I13" s="20" t="s">
        <v>2003</v>
      </c>
      <c r="J13" s="20" t="s">
        <v>2004</v>
      </c>
      <c r="K13" s="20" t="s">
        <v>2005</v>
      </c>
    </row>
    <row r="14" customFormat="false" ht="15" hidden="false" customHeight="false" outlineLevel="0" collapsed="false">
      <c r="A14" s="19" t="s">
        <v>2006</v>
      </c>
      <c r="B14" s="20" t="s">
        <v>2007</v>
      </c>
      <c r="C14" s="20" t="s">
        <v>2008</v>
      </c>
      <c r="D14" s="20" t="s">
        <v>1997</v>
      </c>
      <c r="E14" s="20" t="s">
        <v>2009</v>
      </c>
      <c r="F14" s="15"/>
      <c r="G14" s="19" t="s">
        <v>2010</v>
      </c>
      <c r="H14" s="20" t="s">
        <v>2011</v>
      </c>
      <c r="I14" s="20" t="s">
        <v>2012</v>
      </c>
      <c r="J14" s="20" t="s">
        <v>2013</v>
      </c>
      <c r="K14" s="20" t="s">
        <v>2014</v>
      </c>
    </row>
    <row r="15" customFormat="false" ht="15" hidden="false" customHeight="false" outlineLevel="0" collapsed="false">
      <c r="A15" s="19" t="s">
        <v>870</v>
      </c>
      <c r="B15" s="20" t="s">
        <v>2015</v>
      </c>
      <c r="C15" s="20" t="s">
        <v>2016</v>
      </c>
      <c r="D15" s="20" t="s">
        <v>2017</v>
      </c>
      <c r="E15" s="20" t="s">
        <v>2018</v>
      </c>
      <c r="F15" s="15"/>
      <c r="G15" s="19" t="s">
        <v>2019</v>
      </c>
      <c r="H15" s="20" t="s">
        <v>2020</v>
      </c>
      <c r="I15" s="20" t="s">
        <v>2021</v>
      </c>
      <c r="J15" s="20" t="s">
        <v>2022</v>
      </c>
      <c r="K15" s="20" t="s">
        <v>2023</v>
      </c>
    </row>
    <row r="16" customFormat="false" ht="15" hidden="false" customHeight="false" outlineLevel="0" collapsed="false">
      <c r="A16" s="19" t="s">
        <v>1892</v>
      </c>
      <c r="B16" s="20" t="s">
        <v>2024</v>
      </c>
      <c r="C16" s="20" t="s">
        <v>2025</v>
      </c>
      <c r="D16" s="20" t="s">
        <v>2026</v>
      </c>
      <c r="E16" s="20" t="s">
        <v>2027</v>
      </c>
      <c r="F16" s="15"/>
      <c r="G16" s="19" t="s">
        <v>940</v>
      </c>
      <c r="H16" s="20" t="s">
        <v>2028</v>
      </c>
      <c r="I16" s="20" t="s">
        <v>2029</v>
      </c>
      <c r="J16" s="20" t="s">
        <v>2030</v>
      </c>
      <c r="K16" s="20" t="s">
        <v>2031</v>
      </c>
    </row>
    <row r="17" customFormat="false" ht="15" hidden="false" customHeight="false" outlineLevel="0" collapsed="false">
      <c r="A17" s="19" t="s">
        <v>1720</v>
      </c>
      <c r="B17" s="20" t="s">
        <v>2032</v>
      </c>
      <c r="C17" s="20" t="s">
        <v>2033</v>
      </c>
      <c r="D17" s="20" t="s">
        <v>2034</v>
      </c>
      <c r="E17" s="20" t="s">
        <v>2035</v>
      </c>
      <c r="F17" s="15"/>
      <c r="G17" s="19"/>
      <c r="H17" s="20"/>
      <c r="I17" s="20"/>
      <c r="J17" s="20"/>
      <c r="K17" s="20"/>
    </row>
    <row r="18" customFormat="false" ht="15" hidden="false" customHeight="false" outlineLevel="0" collapsed="false">
      <c r="A18" s="19" t="s">
        <v>885</v>
      </c>
      <c r="B18" s="20" t="s">
        <v>2036</v>
      </c>
      <c r="C18" s="20" t="s">
        <v>2037</v>
      </c>
      <c r="D18" s="20" t="s">
        <v>2038</v>
      </c>
      <c r="E18" s="20" t="s">
        <v>2039</v>
      </c>
      <c r="F18" s="15"/>
      <c r="G18" s="19"/>
      <c r="H18" s="20"/>
      <c r="I18" s="20"/>
      <c r="J18" s="20"/>
      <c r="K18" s="20"/>
    </row>
    <row r="19" customFormat="false" ht="15" hidden="false" customHeight="false" outlineLevel="0" collapsed="false">
      <c r="A19" s="19" t="s">
        <v>1790</v>
      </c>
      <c r="B19" s="20" t="s">
        <v>2040</v>
      </c>
      <c r="C19" s="20" t="s">
        <v>2041</v>
      </c>
      <c r="D19" s="20" t="s">
        <v>2042</v>
      </c>
      <c r="E19" s="20" t="s">
        <v>2043</v>
      </c>
      <c r="F19" s="15"/>
      <c r="G19" s="19"/>
      <c r="H19" s="20"/>
      <c r="I19" s="20"/>
      <c r="J19" s="20"/>
      <c r="K19" s="20"/>
    </row>
    <row r="20" customFormat="false" ht="15" hidden="false" customHeight="false" outlineLevel="0" collapsed="false">
      <c r="A20" s="19" t="s">
        <v>2044</v>
      </c>
      <c r="B20" s="20" t="s">
        <v>2045</v>
      </c>
      <c r="C20" s="20" t="s">
        <v>2046</v>
      </c>
      <c r="D20" s="20" t="s">
        <v>2047</v>
      </c>
      <c r="E20" s="20" t="s">
        <v>2048</v>
      </c>
      <c r="F20" s="15"/>
      <c r="G20" s="19"/>
      <c r="H20" s="20"/>
      <c r="I20" s="20"/>
      <c r="J20" s="20"/>
      <c r="K20" s="20"/>
    </row>
    <row r="21" customFormat="false" ht="15" hidden="false" customHeight="false" outlineLevel="0" collapsed="false">
      <c r="A21" s="19" t="s">
        <v>2049</v>
      </c>
      <c r="B21" s="20" t="s">
        <v>2050</v>
      </c>
      <c r="C21" s="20" t="s">
        <v>2051</v>
      </c>
      <c r="D21" s="20" t="s">
        <v>2052</v>
      </c>
      <c r="E21" s="20"/>
      <c r="F21" s="15"/>
      <c r="G21" s="19"/>
      <c r="H21" s="20"/>
      <c r="I21" s="20"/>
      <c r="J21" s="20"/>
      <c r="K21" s="20"/>
    </row>
    <row r="22" customFormat="false" ht="15" hidden="false" customHeight="false" outlineLevel="0" collapsed="false">
      <c r="A22" s="21" t="s">
        <v>2053</v>
      </c>
      <c r="B22" s="22" t="s">
        <v>2054</v>
      </c>
      <c r="C22" s="22" t="s">
        <v>2055</v>
      </c>
      <c r="D22" s="22" t="s">
        <v>2056</v>
      </c>
      <c r="E22" s="22" t="s">
        <v>2057</v>
      </c>
      <c r="F22" s="15"/>
      <c r="G22" s="19"/>
      <c r="H22" s="20"/>
      <c r="I22" s="20"/>
      <c r="J22" s="20"/>
      <c r="K22"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0"/>
  <sheetViews>
    <sheetView showFormulas="false" showGridLines="false" showRowColHeaders="true" showZeros="true" rightToLeft="false" tabSelected="false" showOutlineSymbols="true" defaultGridColor="true" view="normal" topLeftCell="A15" colorId="64" zoomScale="100" zoomScaleNormal="100" zoomScalePageLayoutView="100" workbookViewId="0">
      <selection pane="topLeft" activeCell="D26" activeCellId="0" sqref="D26"/>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86"/>
    <col collapsed="false" customWidth="true" hidden="false" outlineLevel="0" max="6" min="3" style="0" width="16"/>
    <col collapsed="false" customWidth="true" hidden="false" outlineLevel="0" max="7" min="7" style="0" width="4"/>
    <col collapsed="false" customWidth="true" hidden="false" outlineLevel="0" max="8" min="8" style="0" width="41.15"/>
    <col collapsed="false" customWidth="true" hidden="false" outlineLevel="0" max="9" min="9" style="0" width="17"/>
    <col collapsed="false" customWidth="true" hidden="false" outlineLevel="0" max="10" min="10" style="0" width="14.86"/>
    <col collapsed="false" customWidth="true" hidden="false" outlineLevel="0" max="11" min="11" style="0" width="18.86"/>
    <col collapsed="false" customWidth="true" hidden="false" outlineLevel="0" max="12" min="12" style="0" width="14.57"/>
    <col collapsed="false" customWidth="true" hidden="false" outlineLevel="0" max="13" min="13" style="0" width="4"/>
  </cols>
  <sheetData>
    <row r="1" customFormat="false" ht="15" hidden="false" customHeight="false" outlineLevel="0" collapsed="false">
      <c r="A1" s="23"/>
      <c r="B1" s="23"/>
      <c r="C1" s="23"/>
      <c r="D1" s="23"/>
      <c r="E1" s="23"/>
      <c r="F1" s="23"/>
      <c r="G1" s="23"/>
      <c r="H1" s="23"/>
      <c r="I1" s="23"/>
      <c r="J1" s="23"/>
      <c r="K1" s="23"/>
      <c r="L1" s="23"/>
      <c r="M1" s="23"/>
    </row>
    <row r="2" customFormat="false" ht="44.25" hidden="false" customHeight="true" outlineLevel="0" collapsed="false">
      <c r="A2" s="23"/>
      <c r="B2" s="24" t="s">
        <v>2058</v>
      </c>
      <c r="C2" s="24"/>
      <c r="D2" s="24"/>
      <c r="E2" s="24"/>
      <c r="F2" s="24"/>
      <c r="G2" s="24"/>
      <c r="H2" s="24"/>
      <c r="I2" s="24"/>
      <c r="J2" s="24"/>
      <c r="K2" s="24"/>
      <c r="L2" s="24"/>
      <c r="M2" s="23"/>
    </row>
    <row r="3" customFormat="false" ht="15" hidden="false" customHeight="false" outlineLevel="0" collapsed="false">
      <c r="A3" s="23"/>
      <c r="B3" s="25" t="s">
        <v>2059</v>
      </c>
      <c r="C3" s="25"/>
      <c r="D3" s="26" t="s">
        <v>2060</v>
      </c>
      <c r="E3" s="26"/>
      <c r="F3" s="26"/>
      <c r="G3" s="23"/>
      <c r="H3" s="27" t="s">
        <v>2061</v>
      </c>
      <c r="I3" s="27"/>
      <c r="J3" s="28" t="s">
        <v>18</v>
      </c>
      <c r="K3" s="28"/>
      <c r="L3" s="28"/>
      <c r="M3" s="23"/>
    </row>
    <row r="4" customFormat="false" ht="27" hidden="false" customHeight="true" outlineLevel="0" collapsed="false">
      <c r="A4" s="23"/>
      <c r="B4" s="29" t="n">
        <f aca="false">COUNTIF(Дотоод!$D$7:$D$997,"?*")+COUNTIF(Гадаад!$D$5:$D$1000,"?*")</f>
        <v>276</v>
      </c>
      <c r="C4" s="29"/>
      <c r="D4" s="30" t="n">
        <f aca="false">COUNTIF(Дотоод!$D$7:$D$997,"?*")</f>
        <v>127</v>
      </c>
      <c r="E4" s="30"/>
      <c r="F4" s="30"/>
      <c r="G4" s="23"/>
      <c r="H4" s="31" t="n">
        <f aca="false">COUNTIF(Гадаад!$D$5:$D$1000,"?*")</f>
        <v>149</v>
      </c>
      <c r="I4" s="31"/>
      <c r="J4" s="32" t="n">
        <f aca="false" t="array" ref="J4:J4">SUMPRODUCT(--(COUNTIF(Дотоод!$O$7:$O$997,Ангилал!$A$5:$A$22)+COUNTIF(Гадаад!$N$5:$N$1000,Ангилал!$A$5:$A$22)&gt;0))</f>
        <v>17</v>
      </c>
      <c r="K4" s="32"/>
      <c r="L4" s="32"/>
      <c r="M4" s="23"/>
    </row>
    <row r="5" customFormat="false" ht="15" hidden="false" customHeight="false" outlineLevel="0" collapsed="false">
      <c r="A5" s="23"/>
      <c r="B5" s="23"/>
      <c r="C5" s="23"/>
      <c r="D5" s="23"/>
      <c r="E5" s="23"/>
      <c r="F5" s="23"/>
      <c r="G5" s="23"/>
      <c r="H5" s="23"/>
      <c r="I5" s="23"/>
      <c r="J5" s="23"/>
      <c r="K5" s="23"/>
      <c r="L5" s="23"/>
      <c r="M5" s="23"/>
    </row>
    <row r="6" customFormat="false" ht="26.25" hidden="false" customHeight="true" outlineLevel="0" collapsed="false">
      <c r="A6" s="23"/>
      <c r="B6" s="33" t="s">
        <v>2062</v>
      </c>
      <c r="C6" s="33"/>
      <c r="D6" s="33"/>
      <c r="E6" s="33"/>
      <c r="F6" s="33"/>
      <c r="G6" s="23"/>
      <c r="H6" s="34" t="s">
        <v>2063</v>
      </c>
      <c r="I6" s="34"/>
      <c r="J6" s="34"/>
      <c r="K6" s="34"/>
      <c r="L6" s="34"/>
      <c r="M6" s="23"/>
    </row>
    <row r="7" customFormat="false" ht="15" hidden="false" customHeight="false" outlineLevel="0" collapsed="false">
      <c r="A7" s="23"/>
      <c r="B7" s="35" t="s">
        <v>2064</v>
      </c>
      <c r="C7" s="35" t="s">
        <v>2065</v>
      </c>
      <c r="D7" s="35" t="s">
        <v>2066</v>
      </c>
      <c r="E7" s="35" t="s">
        <v>2067</v>
      </c>
      <c r="F7" s="35" t="s">
        <v>2068</v>
      </c>
      <c r="G7" s="23"/>
      <c r="H7" s="36" t="s">
        <v>2069</v>
      </c>
      <c r="I7" s="36" t="s">
        <v>2065</v>
      </c>
      <c r="J7" s="36" t="s">
        <v>2066</v>
      </c>
      <c r="K7" s="36" t="s">
        <v>2067</v>
      </c>
      <c r="L7" s="36" t="s">
        <v>2068</v>
      </c>
      <c r="M7" s="23"/>
    </row>
    <row r="8" customFormat="false" ht="26.25" hidden="false" customHeight="true" outlineLevel="0" collapsed="false">
      <c r="A8" s="23"/>
      <c r="B8" s="37" t="str">
        <f aca="false">Ангилал!$A5</f>
        <v>Эрүүдэн шүүлт, хүнлэг бус харьцаа</v>
      </c>
      <c r="C8" s="38" t="n">
        <f aca="false">COUNTIF(Дотоод!$O$7:$O$997,$B8)</f>
        <v>8</v>
      </c>
      <c r="D8" s="38" t="n">
        <f aca="false">COUNTIF(Гадаад!$N$5:$N$1000,$B8)</f>
        <v>11</v>
      </c>
      <c r="E8" s="38" t="n">
        <f aca="false">C8+D8</f>
        <v>19</v>
      </c>
      <c r="F8" s="39" t="n">
        <f aca="false">IFERROR(E8/$E$27,0)</f>
        <v>0.0688405797101449</v>
      </c>
      <c r="G8" s="23"/>
      <c r="H8" s="37" t="str">
        <f aca="false">Ангилал!$G5</f>
        <v>Хүүхэд</v>
      </c>
      <c r="I8" s="38" t="n">
        <f aca="false">COUNTIF(Дотоод!$R$7:$R$997,$H8)</f>
        <v>42</v>
      </c>
      <c r="J8" s="38" t="n">
        <f aca="false">COUNTIF(Гадаад!$Q$5:$Q$1000,$H8)</f>
        <v>17</v>
      </c>
      <c r="K8" s="38" t="n">
        <f aca="false">I8+J8</f>
        <v>59</v>
      </c>
      <c r="L8" s="39" t="n">
        <f aca="false">IFERROR(K8/$K$21,0)</f>
        <v>0.213768115942029</v>
      </c>
      <c r="M8" s="23"/>
    </row>
    <row r="9" customFormat="false" ht="26.25" hidden="false" customHeight="true" outlineLevel="0" collapsed="false">
      <c r="A9" s="23"/>
      <c r="B9" s="37" t="str">
        <f aca="false">Ангилал!$A6</f>
        <v>Хүүхдийн эрх</v>
      </c>
      <c r="C9" s="38" t="n">
        <f aca="false">COUNTIF(Дотоод!$O$7:$O$997,$B9)</f>
        <v>35</v>
      </c>
      <c r="D9" s="38" t="n">
        <f aca="false">COUNTIF(Гадаад!$N$5:$N$1000,$B9)</f>
        <v>16</v>
      </c>
      <c r="E9" s="38" t="n">
        <f aca="false">C9+D9</f>
        <v>51</v>
      </c>
      <c r="F9" s="39" t="n">
        <f aca="false">IFERROR(E9/$E$27,0)</f>
        <v>0.184782608695652</v>
      </c>
      <c r="G9" s="23"/>
      <c r="H9" s="37" t="str">
        <f aca="false">Ангилал!$G6</f>
        <v>Эмэгтэйчүүд</v>
      </c>
      <c r="I9" s="38" t="n">
        <f aca="false">COUNTIF(Дотоод!$R$7:$R$997,$H9)</f>
        <v>6</v>
      </c>
      <c r="J9" s="38" t="n">
        <f aca="false">COUNTIF(Гадаад!$Q$5:$Q$1000,$H9)</f>
        <v>13</v>
      </c>
      <c r="K9" s="38" t="n">
        <f aca="false">I9+J9</f>
        <v>19</v>
      </c>
      <c r="L9" s="39" t="n">
        <f aca="false">IFERROR(K9/$K$21,0)</f>
        <v>0.0688405797101449</v>
      </c>
      <c r="M9" s="23"/>
    </row>
    <row r="10" customFormat="false" ht="26.25" hidden="false" customHeight="true" outlineLevel="0" collapsed="false">
      <c r="A10" s="23"/>
      <c r="B10" s="37" t="str">
        <f aca="false">Ангилал!$A7</f>
        <v>Амьд явах, халдашгүй байх эрх</v>
      </c>
      <c r="C10" s="38" t="n">
        <f aca="false">COUNTIF(Дотоод!$O$7:$O$997,$B10)</f>
        <v>21</v>
      </c>
      <c r="D10" s="38" t="n">
        <f aca="false">COUNTIF(Гадаад!$N$5:$N$1000,$B10)</f>
        <v>48</v>
      </c>
      <c r="E10" s="38" t="n">
        <f aca="false">C10+D10</f>
        <v>69</v>
      </c>
      <c r="F10" s="39" t="n">
        <f aca="false">IFERROR(E10/$E$27,0)</f>
        <v>0.25</v>
      </c>
      <c r="G10" s="23"/>
      <c r="H10" s="37" t="str">
        <f aca="false">Ангилал!$G7</f>
        <v>Хөгжлийн бэрхшээлтэй иргэд</v>
      </c>
      <c r="I10" s="38" t="n">
        <f aca="false">COUNTIF(Дотоод!$R$7:$R$997,$H10)</f>
        <v>5</v>
      </c>
      <c r="J10" s="38" t="n">
        <f aca="false">COUNTIF(Гадаад!$Q$5:$Q$1000,$H10)</f>
        <v>2</v>
      </c>
      <c r="K10" s="38" t="n">
        <f aca="false">I10+J10</f>
        <v>7</v>
      </c>
      <c r="L10" s="39" t="n">
        <f aca="false">IFERROR(K10/$K$21,0)</f>
        <v>0.0253623188405797</v>
      </c>
      <c r="M10" s="23"/>
    </row>
    <row r="11" customFormat="false" ht="26.25" hidden="false" customHeight="true" outlineLevel="0" collapsed="false">
      <c r="A11" s="23"/>
      <c r="B11" s="37" t="str">
        <f aca="false">Ангилал!$A8</f>
        <v>Эрүүл мэндийн эрх</v>
      </c>
      <c r="C11" s="38" t="n">
        <f aca="false">COUNTIF(Дотоод!$O$7:$O$997,$B11)</f>
        <v>5</v>
      </c>
      <c r="D11" s="38" t="n">
        <f aca="false">COUNTIF(Гадаад!$N$5:$N$1000,$B11)</f>
        <v>8</v>
      </c>
      <c r="E11" s="38" t="n">
        <f aca="false">C11+D11</f>
        <v>13</v>
      </c>
      <c r="F11" s="39" t="n">
        <f aca="false">IFERROR(E11/$E$27,0)</f>
        <v>0.0471014492753623</v>
      </c>
      <c r="G11" s="23"/>
      <c r="H11" s="37" t="str">
        <f aca="false">Ангилал!$G8</f>
        <v>Ахмад настан</v>
      </c>
      <c r="I11" s="38" t="n">
        <f aca="false">COUNTIF(Дотоод!$R$7:$R$997,$H11)</f>
        <v>3</v>
      </c>
      <c r="J11" s="38" t="n">
        <f aca="false">COUNTIF(Гадаад!$Q$5:$Q$1000,$H11)</f>
        <v>1</v>
      </c>
      <c r="K11" s="38" t="n">
        <f aca="false">I11+J11</f>
        <v>4</v>
      </c>
      <c r="L11" s="39" t="n">
        <f aca="false">IFERROR(K11/$K$21,0)</f>
        <v>0.0144927536231884</v>
      </c>
      <c r="M11" s="23"/>
    </row>
    <row r="12" customFormat="false" ht="26.25" hidden="false" customHeight="true" outlineLevel="0" collapsed="false">
      <c r="A12" s="23"/>
      <c r="B12" s="37" t="str">
        <f aca="false">Ангилал!$A9</f>
        <v>Эрүүл, аюулгүй орчинд амьдрах эрх</v>
      </c>
      <c r="C12" s="38" t="n">
        <f aca="false">COUNTIF(Дотоод!$O$7:$O$997,$B12)</f>
        <v>8</v>
      </c>
      <c r="D12" s="38" t="n">
        <f aca="false">COUNTIF(Гадаад!$N$5:$N$1000,$B12)</f>
        <v>2</v>
      </c>
      <c r="E12" s="38" t="n">
        <f aca="false">C12+D12</f>
        <v>10</v>
      </c>
      <c r="F12" s="39" t="n">
        <f aca="false">IFERROR(E12/$E$27,0)</f>
        <v>0.036231884057971</v>
      </c>
      <c r="G12" s="23"/>
      <c r="H12" s="37" t="str">
        <f aca="false">Ангилал!$G9</f>
        <v>Цөөнх, үндэстэн ястан</v>
      </c>
      <c r="I12" s="38" t="n">
        <f aca="false">COUNTIF(Дотоод!$R$7:$R$997,$H12)</f>
        <v>1</v>
      </c>
      <c r="J12" s="38" t="n">
        <f aca="false">COUNTIF(Гадаад!$Q$5:$Q$1000,$H12)</f>
        <v>4</v>
      </c>
      <c r="K12" s="38" t="n">
        <f aca="false">I12+J12</f>
        <v>5</v>
      </c>
      <c r="L12" s="39" t="n">
        <f aca="false">IFERROR(K12/$K$21,0)</f>
        <v>0.0181159420289855</v>
      </c>
      <c r="M12" s="23"/>
    </row>
    <row r="13" customFormat="false" ht="26.25" hidden="false" customHeight="true" outlineLevel="0" collapsed="false">
      <c r="A13" s="23"/>
      <c r="B13" s="37" t="str">
        <f aca="false">Ангилал!$A10</f>
        <v>Хүчирхийлэл, бэлгийн дарамтаас ангид байх</v>
      </c>
      <c r="C13" s="38" t="n">
        <f aca="false">COUNTIF(Дотоод!$O$7:$O$997,$B13)</f>
        <v>8</v>
      </c>
      <c r="D13" s="38" t="n">
        <f aca="false">COUNTIF(Гадаад!$N$5:$N$1000,$B13)</f>
        <v>4</v>
      </c>
      <c r="E13" s="38" t="n">
        <f aca="false">C13+D13</f>
        <v>12</v>
      </c>
      <c r="F13" s="39" t="n">
        <f aca="false">IFERROR(E13/$E$27,0)</f>
        <v>0.0434782608695652</v>
      </c>
      <c r="G13" s="23"/>
      <c r="H13" s="37" t="str">
        <f aca="false">Ангилал!$G10</f>
        <v>Дүрвэгсэд, цагаачид</v>
      </c>
      <c r="I13" s="38" t="n">
        <f aca="false">COUNTIF(Дотоод!$R$7:$R$997,$H13)</f>
        <v>2</v>
      </c>
      <c r="J13" s="38" t="n">
        <f aca="false">COUNTIF(Гадаад!$Q$5:$Q$1000,$H13)</f>
        <v>8</v>
      </c>
      <c r="K13" s="38" t="n">
        <f aca="false">I13+J13</f>
        <v>10</v>
      </c>
      <c r="L13" s="39" t="n">
        <f aca="false">IFERROR(K13/$K$21,0)</f>
        <v>0.036231884057971</v>
      </c>
      <c r="M13" s="23"/>
    </row>
    <row r="14" customFormat="false" ht="26.25" hidden="false" customHeight="true" outlineLevel="0" collapsed="false">
      <c r="A14" s="23"/>
      <c r="B14" s="37" t="str">
        <f aca="false">Ангилал!$A11</f>
        <v>Ялгаварлан гадуурхалтаас ангид байх, тэгш эрх</v>
      </c>
      <c r="C14" s="38" t="n">
        <f aca="false">COUNTIF(Дотоод!$O$7:$O$997,$B14)</f>
        <v>4</v>
      </c>
      <c r="D14" s="38" t="n">
        <f aca="false">COUNTIF(Гадаад!$N$5:$N$1000,$B14)</f>
        <v>6</v>
      </c>
      <c r="E14" s="38" t="n">
        <f aca="false">C14+D14</f>
        <v>10</v>
      </c>
      <c r="F14" s="39" t="n">
        <f aca="false">IFERROR(E14/$E$27,0)</f>
        <v>0.036231884057971</v>
      </c>
      <c r="G14" s="23"/>
      <c r="H14" s="37" t="str">
        <f aca="false">Ангилал!$G11</f>
        <v>Хоригдол, саатуулагдсан хүн</v>
      </c>
      <c r="I14" s="38" t="n">
        <f aca="false">COUNTIF(Дотоод!$R$7:$R$997,$H14)</f>
        <v>4</v>
      </c>
      <c r="J14" s="38" t="n">
        <f aca="false">COUNTIF(Гадаад!$Q$5:$Q$1000,$H14)</f>
        <v>7</v>
      </c>
      <c r="K14" s="38" t="n">
        <f aca="false">I14+J14</f>
        <v>11</v>
      </c>
      <c r="L14" s="39" t="n">
        <f aca="false">IFERROR(K14/$K$21,0)</f>
        <v>0.0398550724637681</v>
      </c>
      <c r="M14" s="23"/>
    </row>
    <row r="15" customFormat="false" ht="26.25" hidden="false" customHeight="true" outlineLevel="0" collapsed="false">
      <c r="A15" s="23"/>
      <c r="B15" s="37" t="str">
        <f aca="false">Ангилал!$A12</f>
        <v>Үзэл бодлоо илэрхийлэх, мэдээллийн эрх</v>
      </c>
      <c r="C15" s="38" t="n">
        <f aca="false">COUNTIF(Дотоод!$O$7:$O$997,$B15)</f>
        <v>10</v>
      </c>
      <c r="D15" s="38" t="n">
        <f aca="false">COUNTIF(Гадаад!$N$5:$N$1000,$B15)</f>
        <v>11</v>
      </c>
      <c r="E15" s="38" t="n">
        <f aca="false">C15+D15</f>
        <v>21</v>
      </c>
      <c r="F15" s="39" t="n">
        <f aca="false">IFERROR(E15/$E$27,0)</f>
        <v>0.0760869565217391</v>
      </c>
      <c r="G15" s="23"/>
      <c r="H15" s="37" t="str">
        <f aca="false">Ангилал!$G12</f>
        <v>Ажилчид, хөдөлмөр эрхлэгчид</v>
      </c>
      <c r="I15" s="38" t="n">
        <f aca="false">COUNTIF(Дотоод!$R$7:$R$997,$H15)</f>
        <v>3</v>
      </c>
      <c r="J15" s="38" t="n">
        <f aca="false">COUNTIF(Гадаад!$Q$5:$Q$1000,$H15)</f>
        <v>1</v>
      </c>
      <c r="K15" s="38" t="n">
        <f aca="false">I15+J15</f>
        <v>4</v>
      </c>
      <c r="L15" s="39" t="n">
        <f aca="false">IFERROR(K15/$K$21,0)</f>
        <v>0.0144927536231884</v>
      </c>
      <c r="M15" s="23"/>
    </row>
    <row r="16" customFormat="false" ht="26.25" hidden="false" customHeight="true" outlineLevel="0" collapsed="false">
      <c r="A16" s="23"/>
      <c r="B16" s="37" t="str">
        <f aca="false">Ангилал!$A13</f>
        <v>Шударга шүүхээр шүүлгэх эрх</v>
      </c>
      <c r="C16" s="38" t="n">
        <f aca="false">COUNTIF(Дотоод!$O$7:$O$997,$B16)</f>
        <v>5</v>
      </c>
      <c r="D16" s="38" t="n">
        <f aca="false">COUNTIF(Гадаад!$N$5:$N$1000,$B16)</f>
        <v>5</v>
      </c>
      <c r="E16" s="38" t="n">
        <f aca="false">C16+D16</f>
        <v>10</v>
      </c>
      <c r="F16" s="39" t="n">
        <f aca="false">IFERROR(E16/$E$27,0)</f>
        <v>0.036231884057971</v>
      </c>
      <c r="G16" s="23"/>
      <c r="H16" s="37" t="str">
        <f aca="false">Ангилал!$G13</f>
        <v>Сэтгүүлч, хүний эрхийн хамгаалагч</v>
      </c>
      <c r="I16" s="38" t="n">
        <f aca="false">COUNTIF(Дотоод!$R$7:$R$997,$H16)</f>
        <v>3</v>
      </c>
      <c r="J16" s="38" t="n">
        <f aca="false">COUNTIF(Гадаад!$Q$5:$Q$1000,$H16)</f>
        <v>11</v>
      </c>
      <c r="K16" s="38" t="n">
        <f aca="false">I16+J16</f>
        <v>14</v>
      </c>
      <c r="L16" s="39" t="n">
        <f aca="false">IFERROR(K16/$K$21,0)</f>
        <v>0.0507246376811594</v>
      </c>
      <c r="M16" s="23"/>
    </row>
    <row r="17" customFormat="false" ht="26.25" hidden="false" customHeight="true" outlineLevel="0" collapsed="false">
      <c r="A17" s="23"/>
      <c r="B17" s="37" t="str">
        <f aca="false">Ангилал!$A14</f>
        <v>Хөдөлмөрлөх эрх</v>
      </c>
      <c r="C17" s="38" t="n">
        <f aca="false">COUNTIF(Дотоод!$O$7:$O$997,$B17)</f>
        <v>3</v>
      </c>
      <c r="D17" s="38" t="n">
        <f aca="false">COUNTIF(Гадаад!$N$5:$N$1000,$B17)</f>
        <v>0</v>
      </c>
      <c r="E17" s="38" t="n">
        <f aca="false">C17+D17</f>
        <v>3</v>
      </c>
      <c r="F17" s="39" t="n">
        <f aca="false">IFERROR(E17/$E$27,0)</f>
        <v>0.0108695652173913</v>
      </c>
      <c r="G17" s="23"/>
      <c r="H17" s="37" t="str">
        <f aca="false">Ангилал!$G14</f>
        <v>ЛГБТ иргэд</v>
      </c>
      <c r="I17" s="38" t="n">
        <f aca="false">COUNTIF(Дотоод!$R$7:$R$997,$H17)</f>
        <v>0</v>
      </c>
      <c r="J17" s="38" t="n">
        <f aca="false">COUNTIF(Гадаад!$Q$5:$Q$1000,$H17)</f>
        <v>2</v>
      </c>
      <c r="K17" s="38" t="n">
        <f aca="false">I17+J17</f>
        <v>2</v>
      </c>
      <c r="L17" s="39" t="n">
        <f aca="false">IFERROR(K17/$K$21,0)</f>
        <v>0.0072463768115942</v>
      </c>
      <c r="M17" s="23"/>
    </row>
    <row r="18" customFormat="false" ht="26.25" hidden="false" customHeight="true" outlineLevel="0" collapsed="false">
      <c r="A18" s="23"/>
      <c r="B18" s="37" t="str">
        <f aca="false">Ангилал!$A15</f>
        <v>Нийгмийн хамгаалал, халамжийн эрх</v>
      </c>
      <c r="C18" s="38" t="n">
        <f aca="false">COUNTIF(Дотоод!$O$7:$O$997,$B18)</f>
        <v>3</v>
      </c>
      <c r="D18" s="38" t="n">
        <f aca="false">COUNTIF(Гадаад!$N$5:$N$1000,$B18)</f>
        <v>0</v>
      </c>
      <c r="E18" s="38" t="n">
        <f aca="false">C18+D18</f>
        <v>3</v>
      </c>
      <c r="F18" s="39" t="n">
        <f aca="false">IFERROR(E18/$E$27,0)</f>
        <v>0.0108695652173913</v>
      </c>
      <c r="G18" s="23"/>
      <c r="H18" s="37" t="str">
        <f aca="false">Ангилал!$G15</f>
        <v>Малчид, хөдөөгийн иргэд</v>
      </c>
      <c r="I18" s="38" t="n">
        <f aca="false">COUNTIF(Дотоод!$R$7:$R$997,$H18)</f>
        <v>1</v>
      </c>
      <c r="J18" s="38" t="n">
        <f aca="false">COUNTIF(Гадаад!$Q$5:$Q$1000,$H18)</f>
        <v>0</v>
      </c>
      <c r="K18" s="38" t="n">
        <f aca="false">I18+J18</f>
        <v>1</v>
      </c>
      <c r="L18" s="39" t="n">
        <f aca="false">IFERROR(K18/$K$21,0)</f>
        <v>0.0036231884057971</v>
      </c>
      <c r="M18" s="23"/>
    </row>
    <row r="19" customFormat="false" ht="26.25" hidden="false" customHeight="true" outlineLevel="0" collapsed="false">
      <c r="A19" s="23"/>
      <c r="B19" s="37" t="str">
        <f aca="false">Ангилал!$A16</f>
        <v>Боловсролын эрх</v>
      </c>
      <c r="C19" s="38" t="n">
        <f aca="false">COUNTIF(Дотоод!$O$7:$O$997,$B19)</f>
        <v>1</v>
      </c>
      <c r="D19" s="38" t="n">
        <f aca="false">COUNTIF(Гадаад!$N$5:$N$1000,$B19)</f>
        <v>1</v>
      </c>
      <c r="E19" s="38" t="n">
        <f aca="false">C19+D19</f>
        <v>2</v>
      </c>
      <c r="F19" s="39" t="n">
        <f aca="false">IFERROR(E19/$E$27,0)</f>
        <v>0.0072463768115942</v>
      </c>
      <c r="G19" s="23"/>
      <c r="H19" s="37" t="str">
        <f aca="false">Ангилал!$G16</f>
        <v>Өвчтөн, эмчлүүлэгч</v>
      </c>
      <c r="I19" s="38" t="n">
        <f aca="false">COUNTIF(Дотоод!$R$7:$R$997,$H19)</f>
        <v>4</v>
      </c>
      <c r="J19" s="38" t="n">
        <f aca="false">COUNTIF(Гадаад!$Q$5:$Q$1000,$H19)</f>
        <v>0</v>
      </c>
      <c r="K19" s="38" t="n">
        <f aca="false">I19+J19</f>
        <v>4</v>
      </c>
      <c r="L19" s="39" t="n">
        <f aca="false">IFERROR(K19/$K$21,0)</f>
        <v>0.0144927536231884</v>
      </c>
      <c r="M19" s="23"/>
    </row>
    <row r="20" customFormat="false" ht="26.25" hidden="false" customHeight="true" outlineLevel="0" collapsed="false">
      <c r="A20" s="23"/>
      <c r="B20" s="37" t="str">
        <f aca="false">Ангилал!$A17</f>
        <v>Хүнс, ус, орон сууцны эрх</v>
      </c>
      <c r="C20" s="38" t="n">
        <f aca="false">COUNTIF(Дотоод!$O$7:$O$997,$B20)</f>
        <v>1</v>
      </c>
      <c r="D20" s="38" t="n">
        <f aca="false">COUNTIF(Гадаад!$N$5:$N$1000,$B20)</f>
        <v>8</v>
      </c>
      <c r="E20" s="38" t="n">
        <f aca="false">C20+D20</f>
        <v>9</v>
      </c>
      <c r="F20" s="39" t="n">
        <f aca="false">IFERROR(E20/$E$27,0)</f>
        <v>0.0326086956521739</v>
      </c>
      <c r="G20" s="23"/>
      <c r="H20" s="40" t="s">
        <v>2070</v>
      </c>
      <c r="I20" s="41" t="n">
        <f aca="false">COUNTIF(Дотоод!$R$7:$R$997,"Ерөнхий нийт")+COUNTIFS(Дотоод!$D$7:$D$997,"?*",Дотоод!$R$7:$R$997,"")</f>
        <v>53</v>
      </c>
      <c r="J20" s="41" t="n">
        <f aca="false">COUNTIF(Гадаад!$Q$5:$Q$1000,"Ерөнхий нийт")+COUNTIFS(Гадаад!$D$5:$D$1000,"?*",Гадаад!$Q$5:$Q$1000,"")</f>
        <v>83</v>
      </c>
      <c r="K20" s="41" t="n">
        <f aca="false">I20+J20</f>
        <v>136</v>
      </c>
      <c r="L20" s="42" t="n">
        <f aca="false">IFERROR(K20/$K$21,0)</f>
        <v>0.492753623188406</v>
      </c>
      <c r="M20" s="23"/>
    </row>
    <row r="21" customFormat="false" ht="26.25" hidden="false" customHeight="true" outlineLevel="0" collapsed="false">
      <c r="A21" s="23"/>
      <c r="B21" s="37" t="str">
        <f aca="false">Ангилал!$A18</f>
        <v>Чөлөөтэй зорчих, эвлэлдэн нэгдэх эрх</v>
      </c>
      <c r="C21" s="38" t="n">
        <f aca="false">COUNTIF(Дотоод!$O$7:$O$997,$B21)</f>
        <v>4</v>
      </c>
      <c r="D21" s="38" t="n">
        <f aca="false">COUNTIF(Гадаад!$N$5:$N$1000,$B21)</f>
        <v>4</v>
      </c>
      <c r="E21" s="38" t="n">
        <f aca="false">C21+D21</f>
        <v>8</v>
      </c>
      <c r="F21" s="39" t="n">
        <f aca="false">IFERROR(E21/$E$27,0)</f>
        <v>0.0289855072463768</v>
      </c>
      <c r="G21" s="23"/>
      <c r="H21" s="43" t="s">
        <v>2071</v>
      </c>
      <c r="I21" s="44" t="n">
        <f aca="false">SUM(I8:I20)</f>
        <v>127</v>
      </c>
      <c r="J21" s="44" t="n">
        <f aca="false">SUM(J8:J20)</f>
        <v>149</v>
      </c>
      <c r="K21" s="44" t="n">
        <f aca="false">SUM(K8:K20)</f>
        <v>276</v>
      </c>
      <c r="L21" s="45" t="n">
        <f aca="false">IFERROR(K21/$K$21,0)</f>
        <v>1</v>
      </c>
      <c r="M21" s="23"/>
    </row>
    <row r="22" customFormat="false" ht="26.25" hidden="false" customHeight="true" outlineLevel="0" collapsed="false">
      <c r="A22" s="23"/>
      <c r="B22" s="37" t="str">
        <f aca="false">Ангилал!$A19</f>
        <v>Хувийн нууц, халдашгүй байдал</v>
      </c>
      <c r="C22" s="38" t="n">
        <f aca="false">COUNTIF(Дотоод!$O$7:$O$997,$B22)</f>
        <v>3</v>
      </c>
      <c r="D22" s="38" t="n">
        <f aca="false">COUNTIF(Гадаад!$N$5:$N$1000,$B22)</f>
        <v>1</v>
      </c>
      <c r="E22" s="38" t="n">
        <f aca="false">C22+D22</f>
        <v>4</v>
      </c>
      <c r="F22" s="39" t="n">
        <f aca="false">IFERROR(E22/$E$27,0)</f>
        <v>0.0144927536231884</v>
      </c>
      <c r="G22" s="23"/>
      <c r="H22" s="23"/>
      <c r="I22" s="23"/>
      <c r="J22" s="23"/>
      <c r="K22" s="23"/>
      <c r="L22" s="23"/>
      <c r="M22" s="23"/>
    </row>
    <row r="23" customFormat="false" ht="26.25" hidden="false" customHeight="true" outlineLevel="0" collapsed="false">
      <c r="A23" s="23"/>
      <c r="B23" s="37" t="str">
        <f aca="false">Ангилал!$A20</f>
        <v>Өмчлөх эрх</v>
      </c>
      <c r="C23" s="38" t="n">
        <f aca="false">COUNTIF(Дотоод!$O$7:$O$997,$B23)</f>
        <v>2</v>
      </c>
      <c r="D23" s="38" t="n">
        <f aca="false">COUNTIF(Гадаад!$N$5:$N$1000,$B23)</f>
        <v>0</v>
      </c>
      <c r="E23" s="38" t="n">
        <f aca="false">C23+D23</f>
        <v>2</v>
      </c>
      <c r="F23" s="39" t="n">
        <f aca="false">IFERROR(E23/$E$27,0)</f>
        <v>0.0072463768115942</v>
      </c>
      <c r="G23" s="23"/>
      <c r="H23" s="46" t="s">
        <v>2072</v>
      </c>
      <c r="I23" s="46"/>
      <c r="J23" s="46"/>
      <c r="K23" s="46"/>
      <c r="L23" s="46"/>
      <c r="M23" s="23"/>
    </row>
    <row r="24" customFormat="false" ht="26.25" hidden="false" customHeight="true" outlineLevel="0" collapsed="false">
      <c r="A24" s="23"/>
      <c r="B24" s="37" t="str">
        <f aca="false">Ангилал!$A21</f>
        <v>Шашин шүтэх эрх</v>
      </c>
      <c r="C24" s="38" t="n">
        <f aca="false">COUNTIF(Дотоод!$O$7:$O$997,$B24)</f>
        <v>0</v>
      </c>
      <c r="D24" s="38" t="n">
        <f aca="false">COUNTIF(Гадаад!$N$5:$N$1000,$B24)</f>
        <v>2</v>
      </c>
      <c r="E24" s="38" t="n">
        <f aca="false">C24+D24</f>
        <v>2</v>
      </c>
      <c r="F24" s="39" t="n">
        <f aca="false">IFERROR(E24/$E$27,0)</f>
        <v>0.0072463768115942</v>
      </c>
      <c r="G24" s="23"/>
      <c r="H24" s="47" t="s">
        <v>2073</v>
      </c>
      <c r="I24" s="47" t="s">
        <v>2074</v>
      </c>
      <c r="J24" s="47" t="s">
        <v>2068</v>
      </c>
      <c r="K24" s="47" t="s">
        <v>2075</v>
      </c>
      <c r="L24" s="47" t="s">
        <v>2076</v>
      </c>
      <c r="M24" s="23"/>
    </row>
    <row r="25" customFormat="false" ht="26.25" hidden="false" customHeight="true" outlineLevel="0" collapsed="false">
      <c r="A25" s="23"/>
      <c r="B25" s="37" t="str">
        <f aca="false">Ангилал!$A22</f>
        <v>Улс төрийн оролцооны эрх</v>
      </c>
      <c r="C25" s="38" t="n">
        <f aca="false">COUNTIF(Дотоод!$O$7:$O$997,$B25)</f>
        <v>0</v>
      </c>
      <c r="D25" s="38" t="n">
        <f aca="false">COUNTIF(Гадаад!$N$5:$N$1000,$B25)</f>
        <v>0</v>
      </c>
      <c r="E25" s="38" t="n">
        <f aca="false">C25+D25</f>
        <v>0</v>
      </c>
      <c r="F25" s="39" t="n">
        <f aca="false">IFERROR(E25/$E$27,0)</f>
        <v>0</v>
      </c>
      <c r="G25" s="23"/>
      <c r="H25" s="48" t="s">
        <v>2077</v>
      </c>
      <c r="I25" s="49" t="n">
        <f aca="false">COUNTIF(Дотоод!$D$7:$D$997,"?*")</f>
        <v>127</v>
      </c>
      <c r="J25" s="50" t="n">
        <f aca="false">IFERROR(I25/$I$27,0)</f>
        <v>0.460144927536232</v>
      </c>
      <c r="K25" s="49" t="n">
        <f aca="false" t="array" ref="K25:K25">SUMPRODUCT(--(COUNTIF(Дотоод!$O$7:$O$997,Ангилал!$A$5:$A$22)&gt;0))</f>
        <v>16</v>
      </c>
      <c r="L25" s="49" t="n">
        <f aca="false" t="array" ref="L25:L25">SUMPRODUCT(--(COUNTIF(Дотоод!$R$7:$R$997,Ангилал!$G$5:$G$16)&gt;0))</f>
        <v>11</v>
      </c>
      <c r="M25" s="23"/>
    </row>
    <row r="26" customFormat="false" ht="26.25" hidden="false" customHeight="true" outlineLevel="0" collapsed="false">
      <c r="A26" s="23"/>
      <c r="B26" s="40" t="s">
        <v>2078</v>
      </c>
      <c r="C26" s="41" t="n">
        <f aca="false">COUNTIF(Дотоод!$O$7:$O$997,"Бусад")+COUNTIFS(Дотоод!$D$7:$D$997,"?*",Дотоод!$O$7:$O$997,"")</f>
        <v>6</v>
      </c>
      <c r="D26" s="41" t="n">
        <f aca="false">COUNTIF(Гадаад!$N$5:$N$1000,"Бусад")+COUNTIFS(Гадаад!$D$5:$D$1000,"?*",Гадаад!$N$5:$N$1000,"")</f>
        <v>22</v>
      </c>
      <c r="E26" s="41" t="n">
        <f aca="false">C26+D26</f>
        <v>28</v>
      </c>
      <c r="F26" s="42" t="n">
        <f aca="false">IFERROR(E26/$E$27,0)</f>
        <v>0.101449275362319</v>
      </c>
      <c r="G26" s="23"/>
      <c r="H26" s="51" t="s">
        <v>2079</v>
      </c>
      <c r="I26" s="52" t="n">
        <f aca="false">COUNTIF(Гадаад!$D$5:$D$1000,"?*")</f>
        <v>149</v>
      </c>
      <c r="J26" s="53" t="n">
        <f aca="false">IFERROR(I26/$I$27,0)</f>
        <v>0.539855072463768</v>
      </c>
      <c r="K26" s="52" t="n">
        <f aca="false" t="array" ref="K26:K26">SUMPRODUCT(--(COUNTIF(Гадаад!$N$5:$N$1000,Ангилал!$A$5:$A$22)&gt;0))</f>
        <v>14</v>
      </c>
      <c r="L26" s="52" t="n">
        <f aca="false" t="array" ref="L26:L26">SUMPRODUCT(--(COUNTIF(Гадаад!$Q$5:$Q$1000,Ангилал!$G$5:$G$16)&gt;0))</f>
        <v>10</v>
      </c>
      <c r="M26" s="23"/>
    </row>
    <row r="27" customFormat="false" ht="26.25" hidden="false" customHeight="true" outlineLevel="0" collapsed="false">
      <c r="A27" s="23"/>
      <c r="B27" s="54" t="s">
        <v>2071</v>
      </c>
      <c r="C27" s="55" t="n">
        <f aca="false">SUM(C8:C26)</f>
        <v>127</v>
      </c>
      <c r="D27" s="55" t="n">
        <f aca="false">SUM(D8:D26)</f>
        <v>149</v>
      </c>
      <c r="E27" s="55" t="n">
        <f aca="false">SUM(E8:E26)</f>
        <v>276</v>
      </c>
      <c r="F27" s="56" t="n">
        <f aca="false">IFERROR(E27/$E$27,0)</f>
        <v>1</v>
      </c>
      <c r="G27" s="23"/>
      <c r="H27" s="57" t="s">
        <v>2071</v>
      </c>
      <c r="I27" s="58" t="n">
        <f aca="false">SUM(I25:I26)</f>
        <v>276</v>
      </c>
      <c r="J27" s="59" t="n">
        <f aca="false">IFERROR(I27/$I$27,0)</f>
        <v>1</v>
      </c>
      <c r="K27" s="58" t="n">
        <f aca="false" t="array" ref="K27:K27">SUMPRODUCT(--(COUNTIF(Дотоод!$O$7:$O$997,Ангилал!$A$5:$A$22)+COUNTIF(Гадаад!$N$5:$N$1000,Ангилал!$A$5:$A$22)&gt;0))</f>
        <v>17</v>
      </c>
      <c r="L27" s="58" t="n">
        <f aca="false" t="array" ref="L27:L27">SUMPRODUCT(--(COUNTIF(Дотоод!$R$7:$R$997,Ангилал!$G$5:$G$16)+COUNTIF(Гадаад!$Q$5:$Q$1000,Ангилал!$G$5:$G$16)&gt;0))</f>
        <v>12</v>
      </c>
      <c r="M27" s="23"/>
    </row>
    <row r="28" customFormat="false" ht="15" hidden="false" customHeight="false" outlineLevel="0" collapsed="false">
      <c r="A28" s="23"/>
      <c r="B28" s="23"/>
      <c r="C28" s="23"/>
      <c r="D28" s="23"/>
      <c r="E28" s="23"/>
      <c r="F28" s="23"/>
      <c r="G28" s="23"/>
      <c r="H28" s="23"/>
      <c r="I28" s="23"/>
      <c r="J28" s="23"/>
      <c r="K28" s="23"/>
      <c r="L28" s="23"/>
      <c r="M28" s="23"/>
    </row>
    <row r="29" customFormat="false" ht="15" hidden="false" customHeight="false" outlineLevel="0" collapsed="false">
      <c r="A29" s="23"/>
      <c r="B29" s="23"/>
      <c r="C29" s="23"/>
      <c r="D29" s="23"/>
      <c r="E29" s="23"/>
      <c r="F29" s="23"/>
      <c r="G29" s="23"/>
      <c r="H29" s="23"/>
      <c r="I29" s="23"/>
      <c r="J29" s="23"/>
      <c r="K29" s="23"/>
      <c r="L29" s="23"/>
      <c r="M29" s="23"/>
    </row>
    <row r="30" customFormat="false" ht="15" hidden="false" customHeight="false" outlineLevel="0" collapsed="false">
      <c r="A30" s="23"/>
      <c r="B30" s="23"/>
      <c r="C30" s="23"/>
      <c r="D30" s="23"/>
      <c r="E30" s="23"/>
      <c r="F30" s="23"/>
      <c r="G30" s="23"/>
      <c r="H30" s="23"/>
      <c r="I30" s="23"/>
      <c r="J30" s="23"/>
      <c r="K30" s="23"/>
      <c r="L30" s="23"/>
      <c r="M30" s="23"/>
    </row>
    <row r="31" customFormat="false" ht="15" hidden="false" customHeight="false" outlineLevel="0" collapsed="false">
      <c r="A31" s="23"/>
      <c r="B31" s="60" t="s">
        <v>2080</v>
      </c>
      <c r="C31" s="60"/>
      <c r="D31" s="60"/>
      <c r="E31" s="60"/>
      <c r="F31" s="60"/>
      <c r="G31" s="60"/>
      <c r="H31" s="60"/>
      <c r="I31" s="60"/>
      <c r="J31" s="60"/>
      <c r="K31" s="61"/>
      <c r="L31" s="61"/>
      <c r="M31" s="23"/>
    </row>
    <row r="32" customFormat="false" ht="15" hidden="false" customHeight="false" outlineLevel="0" collapsed="false">
      <c r="A32" s="23"/>
      <c r="B32" s="60" t="s">
        <v>2064</v>
      </c>
      <c r="C32" s="60" t="s">
        <v>2065</v>
      </c>
      <c r="D32" s="60" t="s">
        <v>2066</v>
      </c>
      <c r="E32" s="60"/>
      <c r="F32" s="60" t="s">
        <v>2069</v>
      </c>
      <c r="G32" s="60" t="s">
        <v>2067</v>
      </c>
      <c r="H32" s="60"/>
      <c r="I32" s="60" t="s">
        <v>2073</v>
      </c>
      <c r="J32" s="60" t="s">
        <v>2074</v>
      </c>
      <c r="K32" s="61"/>
      <c r="L32" s="61"/>
      <c r="M32" s="23"/>
    </row>
    <row r="33" customFormat="false" ht="15" hidden="false" customHeight="false" outlineLevel="0" collapsed="false">
      <c r="A33" s="23"/>
      <c r="B33" s="61" t="str">
        <f aca="false" t="array" ref="B33:B33">IFERROR(INDEX($B$8:$B$26,MATCH(LARGE($E$8:$E$26-ROW($E$8:$E$26)/100000,1),$E$8:$E$26-ROW($E$8:$E$26)/100000,0)),"")</f>
        <v>Амьд явах, халдашгүй байх эрх</v>
      </c>
      <c r="C33" s="62" t="n">
        <f aca="false">IFERROR(INDEX($C$8:$C$26,MATCH($B33,$B$8:$B$26,0)),0)</f>
        <v>21</v>
      </c>
      <c r="D33" s="62" t="n">
        <f aca="false">IFERROR(INDEX($D$8:$D$26,MATCH($B33,$B$8:$B$26,0)),0)</f>
        <v>48</v>
      </c>
      <c r="E33" s="61"/>
      <c r="F33" s="61" t="str">
        <f aca="false" t="array" ref="F33:F33">IFERROR(INDEX($H$8:$H$19,MATCH(LARGE($K$8:$K$19-ROW($K$8:$K$19)/100000,1),$K$8:$K$19-ROW($K$8:$K$19)/100000,0)),"")</f>
        <v>Хүүхэд</v>
      </c>
      <c r="G33" s="62" t="n">
        <f aca="false">IFERROR(INDEX($K$8:$K$19,MATCH($F33,$H$8:$H$19,0)),0)</f>
        <v>59</v>
      </c>
      <c r="H33" s="61"/>
      <c r="I33" s="61" t="str">
        <f aca="false">$H$25</f>
        <v>Дотоод (Монгол)</v>
      </c>
      <c r="J33" s="61" t="n">
        <f aca="false">$I$25</f>
        <v>127</v>
      </c>
      <c r="K33" s="61"/>
      <c r="L33" s="61"/>
      <c r="M33" s="23"/>
    </row>
    <row r="34" customFormat="false" ht="15" hidden="false" customHeight="false" outlineLevel="0" collapsed="false">
      <c r="A34" s="23"/>
      <c r="B34" s="61" t="str">
        <f aca="false" t="array" ref="B34:B34">IFERROR(INDEX($B$8:$B$26,MATCH(LARGE($E$8:$E$26-ROW($E$8:$E$26)/100000,2),$E$8:$E$26-ROW($E$8:$E$26)/100000,0)),"")</f>
        <v>Хүүхдийн эрх</v>
      </c>
      <c r="C34" s="62" t="n">
        <f aca="false">IFERROR(INDEX($C$8:$C$26,MATCH($B34,$B$8:$B$26,0)),0)</f>
        <v>35</v>
      </c>
      <c r="D34" s="62" t="n">
        <f aca="false">IFERROR(INDEX($D$8:$D$26,MATCH($B34,$B$8:$B$26,0)),0)</f>
        <v>16</v>
      </c>
      <c r="E34" s="61"/>
      <c r="F34" s="61" t="str">
        <f aca="false" t="array" ref="F34:F34">IFERROR(INDEX($H$8:$H$19,MATCH(LARGE($K$8:$K$19-ROW($K$8:$K$19)/100000,2),$K$8:$K$19-ROW($K$8:$K$19)/100000,0)),"")</f>
        <v>Эмэгтэйчүүд</v>
      </c>
      <c r="G34" s="62" t="n">
        <f aca="false">IFERROR(INDEX($K$8:$K$19,MATCH($F34,$H$8:$H$19,0)),0)</f>
        <v>19</v>
      </c>
      <c r="H34" s="61"/>
      <c r="I34" s="61" t="str">
        <f aca="false">$H$26</f>
        <v>Гадаад (Олон улс)</v>
      </c>
      <c r="J34" s="61" t="n">
        <f aca="false">$I$26</f>
        <v>149</v>
      </c>
      <c r="K34" s="61"/>
      <c r="L34" s="61"/>
      <c r="M34" s="23"/>
    </row>
    <row r="35" customFormat="false" ht="15" hidden="false" customHeight="false" outlineLevel="0" collapsed="false">
      <c r="A35" s="23"/>
      <c r="B35" s="61" t="str">
        <f aca="false" t="array" ref="B35:B35">IFERROR(INDEX($B$8:$B$26,MATCH(LARGE($E$8:$E$26-ROW($E$8:$E$26)/100000,3),$E$8:$E$26-ROW($E$8:$E$26)/100000,0)),"")</f>
        <v>Бусад / ангилагдаагүй</v>
      </c>
      <c r="C35" s="62" t="n">
        <f aca="false">IFERROR(INDEX($C$8:$C$26,MATCH($B35,$B$8:$B$26,0)),0)</f>
        <v>6</v>
      </c>
      <c r="D35" s="62" t="n">
        <f aca="false">IFERROR(INDEX($D$8:$D$26,MATCH($B35,$B$8:$B$26,0)),0)</f>
        <v>22</v>
      </c>
      <c r="E35" s="61"/>
      <c r="F35" s="61" t="str">
        <f aca="false" t="array" ref="F35:F35">IFERROR(INDEX($H$8:$H$19,MATCH(LARGE($K$8:$K$19-ROW($K$8:$K$19)/100000,3),$K$8:$K$19-ROW($K$8:$K$19)/100000,0)),"")</f>
        <v>Сэтгүүлч, хүний эрхийн хамгаалагч</v>
      </c>
      <c r="G35" s="62" t="n">
        <f aca="false">IFERROR(INDEX($K$8:$K$19,MATCH($F35,$H$8:$H$19,0)),0)</f>
        <v>14</v>
      </c>
      <c r="H35" s="61"/>
      <c r="I35" s="61"/>
      <c r="J35" s="61"/>
      <c r="K35" s="61"/>
      <c r="L35" s="61"/>
      <c r="M35" s="23"/>
    </row>
    <row r="36" customFormat="false" ht="15" hidden="false" customHeight="false" outlineLevel="0" collapsed="false">
      <c r="A36" s="23"/>
      <c r="B36" s="61" t="str">
        <f aca="false" t="array" ref="B36:B36">IFERROR(INDEX($B$8:$B$26,MATCH(LARGE($E$8:$E$26-ROW($E$8:$E$26)/100000,4),$E$8:$E$26-ROW($E$8:$E$26)/100000,0)),"")</f>
        <v>Үзэл бодлоо илэрхийлэх, мэдээллийн эрх</v>
      </c>
      <c r="C36" s="62" t="n">
        <f aca="false">IFERROR(INDEX($C$8:$C$26,MATCH($B36,$B$8:$B$26,0)),0)</f>
        <v>10</v>
      </c>
      <c r="D36" s="62" t="n">
        <f aca="false">IFERROR(INDEX($D$8:$D$26,MATCH($B36,$B$8:$B$26,0)),0)</f>
        <v>11</v>
      </c>
      <c r="E36" s="61"/>
      <c r="F36" s="61" t="str">
        <f aca="false" t="array" ref="F36:F36">IFERROR(INDEX($H$8:$H$19,MATCH(LARGE($K$8:$K$19-ROW($K$8:$K$19)/100000,4),$K$8:$K$19-ROW($K$8:$K$19)/100000,0)),"")</f>
        <v>Хоригдол, саатуулагдсан хүн</v>
      </c>
      <c r="G36" s="62" t="n">
        <f aca="false">IFERROR(INDEX($K$8:$K$19,MATCH($F36,$H$8:$H$19,0)),0)</f>
        <v>11</v>
      </c>
      <c r="H36" s="61"/>
      <c r="I36" s="61"/>
      <c r="J36" s="61"/>
      <c r="K36" s="61"/>
      <c r="L36" s="61"/>
      <c r="M36" s="23"/>
    </row>
    <row r="37" customFormat="false" ht="15" hidden="false" customHeight="false" outlineLevel="0" collapsed="false">
      <c r="A37" s="23"/>
      <c r="B37" s="61" t="str">
        <f aca="false" t="array" ref="B37:B37">IFERROR(INDEX($B$8:$B$26,MATCH(LARGE($E$8:$E$26-ROW($E$8:$E$26)/100000,5),$E$8:$E$26-ROW($E$8:$E$26)/100000,0)),"")</f>
        <v>Эрүүдэн шүүлт, хүнлэг бус харьцаа</v>
      </c>
      <c r="C37" s="62" t="n">
        <f aca="false">IFERROR(INDEX($C$8:$C$26,MATCH($B37,$B$8:$B$26,0)),0)</f>
        <v>8</v>
      </c>
      <c r="D37" s="62" t="n">
        <f aca="false">IFERROR(INDEX($D$8:$D$26,MATCH($B37,$B$8:$B$26,0)),0)</f>
        <v>11</v>
      </c>
      <c r="E37" s="61"/>
      <c r="F37" s="61" t="str">
        <f aca="false" t="array" ref="F37:F37">IFERROR(INDEX($H$8:$H$19,MATCH(LARGE($K$8:$K$19-ROW($K$8:$K$19)/100000,5),$K$8:$K$19-ROW($K$8:$K$19)/100000,0)),"")</f>
        <v>Дүрвэгсэд, цагаачид</v>
      </c>
      <c r="G37" s="62" t="n">
        <f aca="false">IFERROR(INDEX($K$8:$K$19,MATCH($F37,$H$8:$H$19,0)),0)</f>
        <v>10</v>
      </c>
      <c r="H37" s="61"/>
      <c r="I37" s="61"/>
      <c r="J37" s="61"/>
      <c r="K37" s="61"/>
      <c r="L37" s="61"/>
      <c r="M37" s="23"/>
    </row>
    <row r="38" customFormat="false" ht="15" hidden="false" customHeight="false" outlineLevel="0" collapsed="false">
      <c r="A38" s="23"/>
      <c r="B38" s="61" t="str">
        <f aca="false" t="array" ref="B38:B38">IFERROR(INDEX($B$8:$B$26,MATCH(LARGE($E$8:$E$26-ROW($E$8:$E$26)/100000,6),$E$8:$E$26-ROW($E$8:$E$26)/100000,0)),"")</f>
        <v>Эрүүл мэндийн эрх</v>
      </c>
      <c r="C38" s="62" t="n">
        <f aca="false">IFERROR(INDEX($C$8:$C$26,MATCH($B38,$B$8:$B$26,0)),0)</f>
        <v>5</v>
      </c>
      <c r="D38" s="62" t="n">
        <f aca="false">IFERROR(INDEX($D$8:$D$26,MATCH($B38,$B$8:$B$26,0)),0)</f>
        <v>8</v>
      </c>
      <c r="E38" s="61"/>
      <c r="F38" s="61" t="str">
        <f aca="false" t="array" ref="F38:F38">IFERROR(INDEX($H$8:$H$19,MATCH(LARGE($K$8:$K$19-ROW($K$8:$K$19)/100000,6),$K$8:$K$19-ROW($K$8:$K$19)/100000,0)),"")</f>
        <v>Хөгжлийн бэрхшээлтэй иргэд</v>
      </c>
      <c r="G38" s="62" t="n">
        <f aca="false">IFERROR(INDEX($K$8:$K$19,MATCH($F38,$H$8:$H$19,0)),0)</f>
        <v>7</v>
      </c>
      <c r="H38" s="61"/>
      <c r="I38" s="61"/>
      <c r="J38" s="61"/>
      <c r="K38" s="61"/>
      <c r="L38" s="61"/>
      <c r="M38" s="23"/>
    </row>
    <row r="39" customFormat="false" ht="15" hidden="false" customHeight="false" outlineLevel="0" collapsed="false">
      <c r="A39" s="23"/>
      <c r="B39" s="61" t="str">
        <f aca="false" t="array" ref="B39:B39">IFERROR(INDEX($B$8:$B$26,MATCH(LARGE($E$8:$E$26-ROW($E$8:$E$26)/100000,7),$E$8:$E$26-ROW($E$8:$E$26)/100000,0)),"")</f>
        <v>Хүчирхийлэл, бэлгийн дарамтаас ангид байх</v>
      </c>
      <c r="C39" s="62" t="n">
        <f aca="false">IFERROR(INDEX($C$8:$C$26,MATCH($B39,$B$8:$B$26,0)),0)</f>
        <v>8</v>
      </c>
      <c r="D39" s="62" t="n">
        <f aca="false">IFERROR(INDEX($D$8:$D$26,MATCH($B39,$B$8:$B$26,0)),0)</f>
        <v>4</v>
      </c>
      <c r="E39" s="61"/>
      <c r="F39" s="61" t="str">
        <f aca="false" t="array" ref="F39:F39">IFERROR(INDEX($H$8:$H$19,MATCH(LARGE($K$8:$K$19-ROW($K$8:$K$19)/100000,7),$K$8:$K$19-ROW($K$8:$K$19)/100000,0)),"")</f>
        <v>Цөөнх, үндэстэн ястан</v>
      </c>
      <c r="G39" s="62" t="n">
        <f aca="false">IFERROR(INDEX($K$8:$K$19,MATCH($F39,$H$8:$H$19,0)),0)</f>
        <v>5</v>
      </c>
      <c r="H39" s="61"/>
      <c r="I39" s="61"/>
      <c r="J39" s="61"/>
      <c r="K39" s="61"/>
      <c r="L39" s="61"/>
      <c r="M39" s="23"/>
    </row>
    <row r="40" customFormat="false" ht="15" hidden="false" customHeight="false" outlineLevel="0" collapsed="false">
      <c r="A40" s="23"/>
      <c r="B40" s="61" t="str">
        <f aca="false" t="array" ref="B40:B40">IFERROR(INDEX($B$8:$B$26,MATCH(LARGE($E$8:$E$26-ROW($E$8:$E$26)/100000,8),$E$8:$E$26-ROW($E$8:$E$26)/100000,0)),"")</f>
        <v>Эрүүл, аюулгүй орчинд амьдрах эрх</v>
      </c>
      <c r="C40" s="62" t="n">
        <f aca="false">IFERROR(INDEX($C$8:$C$26,MATCH($B40,$B$8:$B$26,0)),0)</f>
        <v>8</v>
      </c>
      <c r="D40" s="62" t="n">
        <f aca="false">IFERROR(INDEX($D$8:$D$26,MATCH($B40,$B$8:$B$26,0)),0)</f>
        <v>2</v>
      </c>
      <c r="E40" s="61"/>
      <c r="F40" s="61" t="str">
        <f aca="false" t="array" ref="F40:F40">IFERROR(INDEX($H$8:$H$19,MATCH(LARGE($K$8:$K$19-ROW($K$8:$K$19)/100000,8),$K$8:$K$19-ROW($K$8:$K$19)/100000,0)),"")</f>
        <v>Ахмад настан</v>
      </c>
      <c r="G40" s="62" t="n">
        <f aca="false">IFERROR(INDEX($K$8:$K$19,MATCH($F40,$H$8:$H$19,0)),0)</f>
        <v>4</v>
      </c>
      <c r="H40" s="61"/>
      <c r="I40" s="61"/>
      <c r="J40" s="61"/>
      <c r="K40" s="61"/>
      <c r="L40" s="61"/>
      <c r="M40" s="23"/>
    </row>
    <row r="41" customFormat="false" ht="15" hidden="false" customHeight="false" outlineLevel="0" collapsed="false">
      <c r="A41" s="23"/>
      <c r="B41" s="61" t="str">
        <f aca="false" t="array" ref="B41:B41">IFERROR(INDEX($B$8:$B$26,MATCH(LARGE($E$8:$E$26-ROW($E$8:$E$26)/100000,9),$E$8:$E$26-ROW($E$8:$E$26)/100000,0)),"")</f>
        <v>Ялгаварлан гадуурхалтаас ангид байх, тэгш эрх</v>
      </c>
      <c r="C41" s="62" t="n">
        <f aca="false">IFERROR(INDEX($C$8:$C$26,MATCH($B41,$B$8:$B$26,0)),0)</f>
        <v>4</v>
      </c>
      <c r="D41" s="62" t="n">
        <f aca="false">IFERROR(INDEX($D$8:$D$26,MATCH($B41,$B$8:$B$26,0)),0)</f>
        <v>6</v>
      </c>
      <c r="E41" s="61"/>
      <c r="F41" s="61"/>
      <c r="G41" s="61"/>
      <c r="H41" s="61"/>
      <c r="I41" s="61"/>
      <c r="J41" s="61"/>
      <c r="K41" s="61"/>
      <c r="L41" s="61"/>
      <c r="M41" s="23"/>
    </row>
    <row r="42" customFormat="false" ht="15" hidden="false" customHeight="false" outlineLevel="0" collapsed="false">
      <c r="A42" s="23"/>
      <c r="B42" s="61" t="str">
        <f aca="false" t="array" ref="B42:B42">IFERROR(INDEX($B$8:$B$26,MATCH(LARGE($E$8:$E$26-ROW($E$8:$E$26)/100000,10),$E$8:$E$26-ROW($E$8:$E$26)/100000,0)),"")</f>
        <v>Шударга шүүхээр шүүлгэх эрх</v>
      </c>
      <c r="C42" s="62" t="n">
        <f aca="false">IFERROR(INDEX($C$8:$C$26,MATCH($B42,$B$8:$B$26,0)),0)</f>
        <v>5</v>
      </c>
      <c r="D42" s="62" t="n">
        <f aca="false">IFERROR(INDEX($D$8:$D$26,MATCH($B42,$B$8:$B$26,0)),0)</f>
        <v>5</v>
      </c>
      <c r="E42" s="61"/>
      <c r="F42" s="61"/>
      <c r="G42" s="61"/>
      <c r="H42" s="61"/>
      <c r="I42" s="61"/>
      <c r="J42" s="61"/>
      <c r="K42" s="61"/>
      <c r="L42" s="61"/>
      <c r="M42" s="23"/>
    </row>
    <row r="43" customFormat="false" ht="15" hidden="false" customHeight="false" outlineLevel="0" collapsed="false">
      <c r="A43" s="23"/>
      <c r="B43" s="23"/>
      <c r="C43" s="23"/>
      <c r="D43" s="23"/>
      <c r="E43" s="23"/>
      <c r="F43" s="23"/>
      <c r="G43" s="23"/>
      <c r="H43" s="23"/>
      <c r="I43" s="23"/>
      <c r="J43" s="23"/>
      <c r="K43" s="23"/>
      <c r="L43" s="23"/>
      <c r="M43" s="23"/>
    </row>
    <row r="44" customFormat="false" ht="15" hidden="false" customHeight="false" outlineLevel="0" collapsed="false">
      <c r="A44" s="23"/>
      <c r="B44" s="23"/>
      <c r="C44" s="23"/>
      <c r="D44" s="23"/>
      <c r="E44" s="23"/>
      <c r="F44" s="23"/>
      <c r="G44" s="23"/>
      <c r="H44" s="23"/>
      <c r="I44" s="23"/>
      <c r="J44" s="23"/>
      <c r="K44" s="23"/>
      <c r="L44" s="23"/>
      <c r="M44" s="23"/>
    </row>
    <row r="45" customFormat="false" ht="15" hidden="false" customHeight="false" outlineLevel="0" collapsed="false">
      <c r="A45" s="23"/>
      <c r="B45" s="23"/>
      <c r="C45" s="23"/>
      <c r="D45" s="23"/>
      <c r="E45" s="23"/>
      <c r="F45" s="23"/>
      <c r="G45" s="23"/>
      <c r="H45" s="23"/>
      <c r="I45" s="23"/>
      <c r="J45" s="23"/>
      <c r="K45" s="23"/>
      <c r="L45" s="23"/>
      <c r="M45" s="23"/>
    </row>
    <row r="46" customFormat="false" ht="15" hidden="false" customHeight="false" outlineLevel="0" collapsed="false">
      <c r="A46" s="23"/>
      <c r="B46" s="23"/>
      <c r="C46" s="23"/>
      <c r="D46" s="23"/>
      <c r="E46" s="23"/>
      <c r="F46" s="23"/>
      <c r="G46" s="23"/>
      <c r="H46" s="23"/>
      <c r="I46" s="23"/>
      <c r="J46" s="23"/>
      <c r="K46" s="23"/>
      <c r="L46" s="23"/>
      <c r="M46" s="23"/>
    </row>
    <row r="47" customFormat="false" ht="15" hidden="false" customHeight="false" outlineLevel="0" collapsed="false">
      <c r="A47" s="23"/>
      <c r="B47" s="23"/>
      <c r="C47" s="23"/>
      <c r="D47" s="23"/>
      <c r="E47" s="23"/>
      <c r="F47" s="23"/>
      <c r="G47" s="23"/>
      <c r="H47" s="23"/>
      <c r="I47" s="23"/>
      <c r="J47" s="23"/>
      <c r="K47" s="23"/>
      <c r="L47" s="23"/>
      <c r="M47" s="23"/>
    </row>
    <row r="48" customFormat="false" ht="15" hidden="false" customHeight="false" outlineLevel="0" collapsed="false">
      <c r="A48" s="23"/>
      <c r="B48" s="23"/>
      <c r="C48" s="23"/>
      <c r="D48" s="23"/>
      <c r="E48" s="23"/>
      <c r="F48" s="23"/>
      <c r="G48" s="23"/>
      <c r="H48" s="23"/>
      <c r="I48" s="23"/>
      <c r="J48" s="23"/>
      <c r="K48" s="23"/>
      <c r="L48" s="23"/>
      <c r="M48" s="23"/>
    </row>
    <row r="49" customFormat="false" ht="15" hidden="false" customHeight="false" outlineLevel="0" collapsed="false">
      <c r="A49" s="23"/>
      <c r="B49" s="23"/>
      <c r="C49" s="23"/>
      <c r="D49" s="23"/>
      <c r="E49" s="23"/>
      <c r="F49" s="23"/>
      <c r="G49" s="23"/>
      <c r="H49" s="23"/>
      <c r="I49" s="23"/>
      <c r="J49" s="23"/>
      <c r="K49" s="23"/>
      <c r="L49" s="23"/>
      <c r="M49" s="23"/>
    </row>
    <row r="50" customFormat="false" ht="15" hidden="false" customHeight="false" outlineLevel="0" collapsed="false">
      <c r="A50" s="23"/>
      <c r="B50" s="23"/>
      <c r="C50" s="23"/>
      <c r="D50" s="23"/>
      <c r="E50" s="23"/>
      <c r="F50" s="23"/>
      <c r="G50" s="23"/>
      <c r="H50" s="23"/>
      <c r="I50" s="23"/>
      <c r="J50" s="23"/>
      <c r="K50" s="23"/>
      <c r="L50" s="23"/>
      <c r="M50" s="23"/>
    </row>
    <row r="51" customFormat="false" ht="15" hidden="false" customHeight="false" outlineLevel="0" collapsed="false">
      <c r="A51" s="23"/>
      <c r="B51" s="23"/>
      <c r="C51" s="23"/>
      <c r="D51" s="23"/>
      <c r="E51" s="23"/>
      <c r="F51" s="23"/>
      <c r="G51" s="23"/>
      <c r="H51" s="23"/>
      <c r="I51" s="23"/>
      <c r="J51" s="23"/>
      <c r="K51" s="23"/>
      <c r="L51" s="23"/>
      <c r="M51" s="23"/>
    </row>
    <row r="52" customFormat="false" ht="15" hidden="false" customHeight="false" outlineLevel="0" collapsed="false">
      <c r="A52" s="23"/>
      <c r="B52" s="23"/>
      <c r="C52" s="23"/>
      <c r="D52" s="23"/>
      <c r="E52" s="23"/>
      <c r="F52" s="23"/>
      <c r="G52" s="23"/>
      <c r="H52" s="23"/>
      <c r="I52" s="23"/>
      <c r="J52" s="23"/>
      <c r="K52" s="23"/>
      <c r="L52" s="23"/>
      <c r="M52" s="23"/>
    </row>
    <row r="53" customFormat="false" ht="15" hidden="false" customHeight="false" outlineLevel="0" collapsed="false">
      <c r="A53" s="23"/>
      <c r="B53" s="23"/>
      <c r="C53" s="23"/>
      <c r="D53" s="23"/>
      <c r="E53" s="23"/>
      <c r="F53" s="23"/>
      <c r="G53" s="23"/>
      <c r="H53" s="23"/>
      <c r="I53" s="23"/>
      <c r="J53" s="23"/>
      <c r="K53" s="23"/>
      <c r="L53" s="23"/>
      <c r="M53" s="23"/>
    </row>
    <row r="54" customFormat="false" ht="15" hidden="false" customHeight="false" outlineLevel="0" collapsed="false">
      <c r="A54" s="23"/>
      <c r="B54" s="23"/>
      <c r="C54" s="23"/>
      <c r="D54" s="23"/>
      <c r="E54" s="23"/>
      <c r="F54" s="23"/>
      <c r="G54" s="23"/>
      <c r="H54" s="23"/>
      <c r="I54" s="23"/>
      <c r="J54" s="23"/>
      <c r="K54" s="23"/>
      <c r="L54" s="23"/>
      <c r="M54" s="23"/>
    </row>
    <row r="55" customFormat="false" ht="15" hidden="false" customHeight="false" outlineLevel="0" collapsed="false">
      <c r="A55" s="23"/>
      <c r="B55" s="23"/>
      <c r="C55" s="23"/>
      <c r="D55" s="23"/>
      <c r="E55" s="23"/>
      <c r="F55" s="23"/>
      <c r="G55" s="23"/>
      <c r="H55" s="23"/>
      <c r="I55" s="23"/>
      <c r="J55" s="23"/>
      <c r="K55" s="23"/>
      <c r="L55" s="23"/>
      <c r="M55" s="23"/>
    </row>
    <row r="56" customFormat="false" ht="15" hidden="false" customHeight="false" outlineLevel="0" collapsed="false">
      <c r="A56" s="23"/>
      <c r="B56" s="23"/>
      <c r="C56" s="23"/>
      <c r="D56" s="23"/>
      <c r="E56" s="23"/>
      <c r="F56" s="23"/>
      <c r="G56" s="23"/>
      <c r="H56" s="23"/>
      <c r="I56" s="23"/>
      <c r="J56" s="23"/>
      <c r="K56" s="23"/>
      <c r="L56" s="23"/>
      <c r="M56" s="23"/>
    </row>
    <row r="57" customFormat="false" ht="15" hidden="false" customHeight="false" outlineLevel="0" collapsed="false">
      <c r="A57" s="23"/>
      <c r="B57" s="23"/>
      <c r="C57" s="23"/>
      <c r="D57" s="23"/>
      <c r="E57" s="23"/>
      <c r="F57" s="23"/>
      <c r="G57" s="23"/>
      <c r="H57" s="23"/>
      <c r="I57" s="23"/>
      <c r="J57" s="23"/>
      <c r="K57" s="23"/>
      <c r="L57" s="23"/>
      <c r="M57" s="23"/>
    </row>
    <row r="58" customFormat="false" ht="15" hidden="false" customHeight="false" outlineLevel="0" collapsed="false">
      <c r="A58" s="23"/>
      <c r="B58" s="23"/>
      <c r="C58" s="23"/>
      <c r="D58" s="23"/>
      <c r="E58" s="23"/>
      <c r="F58" s="23"/>
      <c r="G58" s="23"/>
      <c r="H58" s="23"/>
      <c r="I58" s="23"/>
      <c r="J58" s="23"/>
      <c r="K58" s="23"/>
      <c r="L58" s="23"/>
      <c r="M58" s="23"/>
    </row>
    <row r="59" customFormat="false" ht="15" hidden="false" customHeight="false" outlineLevel="0" collapsed="false">
      <c r="A59" s="23"/>
      <c r="B59" s="23"/>
      <c r="C59" s="23"/>
      <c r="D59" s="23"/>
      <c r="E59" s="23"/>
      <c r="F59" s="23"/>
      <c r="G59" s="23"/>
      <c r="H59" s="23"/>
      <c r="I59" s="23"/>
      <c r="J59" s="23"/>
      <c r="K59" s="23"/>
      <c r="L59" s="23"/>
      <c r="M59" s="23"/>
    </row>
    <row r="60" customFormat="false" ht="15" hidden="false" customHeight="false" outlineLevel="0" collapsed="false">
      <c r="A60" s="23"/>
      <c r="B60" s="23"/>
      <c r="C60" s="23"/>
      <c r="D60" s="23"/>
      <c r="E60" s="23"/>
      <c r="F60" s="23"/>
      <c r="G60" s="23"/>
      <c r="H60" s="23"/>
      <c r="I60" s="23"/>
      <c r="J60" s="23"/>
      <c r="K60" s="23"/>
      <c r="L60" s="23"/>
      <c r="M60" s="23"/>
    </row>
  </sheetData>
  <mergeCells count="12">
    <mergeCell ref="B2:L2"/>
    <mergeCell ref="B3:C3"/>
    <mergeCell ref="D3:F3"/>
    <mergeCell ref="H3:I3"/>
    <mergeCell ref="J3:L3"/>
    <mergeCell ref="B4:C4"/>
    <mergeCell ref="D4:F4"/>
    <mergeCell ref="H4:I4"/>
    <mergeCell ref="J4:L4"/>
    <mergeCell ref="B6:F6"/>
    <mergeCell ref="H6:L6"/>
    <mergeCell ref="H23:L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2026-04-07T08:33:14Z</dcterms:created>
  <dc:creator>openpyxl</dc:creator>
  <dc:description/>
  <dc:language>en-US</dc:language>
  <cp:lastModifiedBy/>
  <dcterms:modified xsi:type="dcterms:W3CDTF">2026-10-10T07:58:39Z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